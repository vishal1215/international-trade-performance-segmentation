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vpra765_uoa_auckland_ac_nz/Documents/q4/703/Grp project trade1/1_orginal sources for pbi/"/>
    </mc:Choice>
  </mc:AlternateContent>
  <xr:revisionPtr revIDLastSave="62" documentId="11_99C05962151B04A9AF37D2E00183244431043053" xr6:coauthVersionLast="47" xr6:coauthVersionMax="47" xr10:uidLastSave="{792CC659-CC3F-4767-B8B5-C6F8B02E7230}"/>
  <bookViews>
    <workbookView xWindow="-120" yWindow="-120" windowWidth="29040" windowHeight="15720" xr2:uid="{00000000-000D-0000-FFFF-FFFF00000000}"/>
  </bookViews>
  <sheets>
    <sheet name="Sheet1" sheetId="2" r:id="rId1"/>
    <sheet name="Report" sheetId="1" r:id="rId2"/>
    <sheet name="Sheet2" sheetId="3" r:id="rId3"/>
  </sheets>
  <definedNames>
    <definedName name="_xlnm._FilterDatabase" localSheetId="1" hidden="1">Report!$A$3:$T$170</definedName>
    <definedName name="_xlnm._FilterDatabase" localSheetId="0" hidden="1">Sheet1!$K$3:$R$170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9" i="3" l="1"/>
  <c r="B159" i="3"/>
  <c r="A159" i="3"/>
  <c r="R29" i="2"/>
  <c r="R165" i="2"/>
  <c r="R107" i="2"/>
  <c r="R98" i="2"/>
  <c r="R148" i="2"/>
  <c r="R63" i="2"/>
  <c r="R22" i="2"/>
  <c r="R87" i="2"/>
  <c r="R170" i="2"/>
  <c r="R40" i="2"/>
  <c r="R152" i="2"/>
  <c r="R143" i="2"/>
  <c r="R70" i="2"/>
  <c r="R121" i="2"/>
  <c r="R128" i="2"/>
  <c r="R4" i="2"/>
  <c r="R142" i="2"/>
  <c r="R120" i="2"/>
  <c r="R62" i="2"/>
  <c r="R78" i="2"/>
  <c r="R140" i="2"/>
  <c r="R17" i="2"/>
  <c r="R5" i="2"/>
  <c r="R129" i="2"/>
  <c r="R145" i="2"/>
  <c r="R111" i="2"/>
  <c r="R100" i="2"/>
  <c r="R164" i="2"/>
  <c r="R33" i="2"/>
  <c r="R161" i="2"/>
  <c r="R162" i="2"/>
  <c r="R59" i="2"/>
  <c r="R83" i="2"/>
  <c r="R66" i="2"/>
  <c r="R56" i="2"/>
  <c r="R155" i="2"/>
  <c r="R163" i="2"/>
  <c r="R27" i="2"/>
  <c r="R48" i="2"/>
  <c r="R135" i="2"/>
  <c r="R6" i="2"/>
  <c r="R69" i="2"/>
  <c r="R112" i="2"/>
  <c r="R7" i="2"/>
  <c r="R109" i="2"/>
  <c r="R76" i="2"/>
  <c r="R117" i="2"/>
  <c r="R166" i="2"/>
  <c r="R57" i="2"/>
  <c r="R8" i="2"/>
  <c r="R9" i="2"/>
  <c r="R79" i="2"/>
  <c r="R158" i="2"/>
  <c r="R45" i="2"/>
  <c r="R94" i="2"/>
  <c r="R159" i="2"/>
  <c r="R19" i="2"/>
  <c r="R122" i="2"/>
  <c r="R113" i="2"/>
  <c r="R49" i="2"/>
  <c r="R126" i="2"/>
  <c r="R130" i="2"/>
  <c r="R116" i="2"/>
  <c r="R42" i="2"/>
  <c r="R55" i="2"/>
  <c r="R13" i="2"/>
  <c r="R28" i="2"/>
  <c r="R157" i="2"/>
  <c r="R85" i="2"/>
  <c r="R168" i="2"/>
  <c r="R25" i="2"/>
  <c r="R88" i="2"/>
  <c r="R34" i="2"/>
  <c r="R89" i="2"/>
  <c r="R60" i="2"/>
  <c r="R150" i="2"/>
  <c r="R14" i="2"/>
  <c r="R149" i="2"/>
  <c r="R37" i="2"/>
  <c r="R65" i="2"/>
  <c r="R90" i="2"/>
  <c r="R72" i="2"/>
  <c r="R77" i="2"/>
  <c r="R118" i="2"/>
  <c r="R38" i="2"/>
  <c r="R15" i="2"/>
  <c r="R119" i="2"/>
  <c r="R137" i="2"/>
  <c r="R51" i="2"/>
  <c r="R136" i="2"/>
  <c r="R127" i="2"/>
  <c r="R123" i="2"/>
  <c r="R18" i="2"/>
  <c r="R73" i="2"/>
  <c r="R43" i="2"/>
  <c r="R47" i="2"/>
  <c r="R46" i="2"/>
  <c r="R30" i="2"/>
  <c r="R146" i="2"/>
  <c r="R105" i="2"/>
  <c r="R71" i="2"/>
  <c r="R80" i="2"/>
  <c r="R141" i="2"/>
  <c r="R139" i="2"/>
  <c r="R20" i="2"/>
  <c r="R52" i="2"/>
  <c r="R131" i="2"/>
  <c r="R124" i="2"/>
  <c r="R67" i="2"/>
  <c r="R53" i="2"/>
  <c r="R50" i="2"/>
  <c r="R114" i="2"/>
  <c r="R32" i="2"/>
  <c r="R44" i="2"/>
  <c r="R35" i="2"/>
  <c r="R95" i="2"/>
  <c r="R21" i="2"/>
  <c r="R61" i="2"/>
  <c r="R41" i="2"/>
  <c r="R10" i="2"/>
  <c r="R68" i="2"/>
  <c r="R138" i="2"/>
  <c r="R91" i="2"/>
  <c r="R93" i="2"/>
  <c r="R101" i="2"/>
  <c r="R115" i="2"/>
  <c r="R99" i="2"/>
  <c r="R58" i="2"/>
  <c r="R132" i="2"/>
  <c r="R74" i="2"/>
  <c r="R24" i="2"/>
  <c r="R125" i="2"/>
  <c r="R16" i="2"/>
  <c r="R97" i="2"/>
  <c r="R156" i="2"/>
  <c r="R81" i="2"/>
  <c r="R102" i="2"/>
  <c r="R82" i="2"/>
  <c r="R169" i="2"/>
  <c r="R106" i="2"/>
  <c r="R54" i="2"/>
  <c r="R110" i="2"/>
  <c r="R84" i="2"/>
  <c r="R147" i="2"/>
  <c r="R104" i="2"/>
  <c r="R133" i="2"/>
  <c r="R23" i="2"/>
  <c r="R134" i="2"/>
  <c r="R108" i="2"/>
  <c r="R86" i="2"/>
  <c r="R167" i="2"/>
  <c r="R144" i="2"/>
  <c r="R11" i="2"/>
  <c r="R154" i="2"/>
  <c r="R36" i="2"/>
  <c r="R39" i="2"/>
  <c r="R31" i="2"/>
  <c r="R26" i="2"/>
  <c r="R103" i="2"/>
  <c r="R75" i="2"/>
  <c r="R92" i="2"/>
  <c r="R151" i="2"/>
  <c r="R96" i="2"/>
  <c r="R12" i="2"/>
  <c r="R153" i="2"/>
  <c r="R160" i="2"/>
  <c r="R6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4" i="2"/>
</calcChain>
</file>

<file path=xl/sharedStrings.xml><?xml version="1.0" encoding="utf-8"?>
<sst xmlns="http://schemas.openxmlformats.org/spreadsheetml/2006/main" count="540" uniqueCount="197">
  <si>
    <t>Indicator</t>
  </si>
  <si>
    <t xml:space="preserve">  Simple average MFN applied tariff - all products (Percent)</t>
  </si>
  <si>
    <t>Reporting Economy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</si>
  <si>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</si>
  <si>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</si>
  <si>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</si>
  <si>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</si>
  <si>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</si>
  <si>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</si>
  <si>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</si>
  <si>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</si>
  <si>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</si>
  <si>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</si>
  <si>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</si>
  <si>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</si>
  <si>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</si>
  <si>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</si>
  <si>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</si>
  <si>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</si>
  <si>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</si>
  <si>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</si>
  <si>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</si>
  <si>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</si>
  <si>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</si>
  <si>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</si>
  <si>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</si>
  <si>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</si>
  <si>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</si>
  <si>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</si>
  <si>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</si>
  <si>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</si>
  <si>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</si>
  <si>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Bahrain, Kingdom of</t>
  </si>
  <si>
    <t>Bangladesh</t>
  </si>
  <si>
    <t>Barbados</t>
  </si>
  <si>
    <t>Belarus</t>
  </si>
  <si>
    <t>Belize</t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</si>
  <si>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</si>
  <si>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</si>
  <si>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</si>
  <si>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</si>
  <si>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</si>
  <si>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</si>
  <si>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</si>
  <si>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</si>
  <si>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</si>
  <si>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</si>
  <si>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</si>
  <si>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</si>
  <si>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</si>
  <si>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</si>
  <si>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</si>
  <si>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</si>
  <si>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</si>
  <si>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</si>
  <si>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</si>
  <si>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</si>
  <si>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</si>
  <si>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</si>
  <si>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</si>
  <si>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</si>
  <si>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</si>
  <si>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</si>
  <si>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</si>
  <si>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</si>
  <si>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</si>
  <si>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</si>
  <si>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</si>
  <si>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</si>
  <si>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</si>
  <si>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</si>
  <si>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</si>
  <si>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</si>
  <si>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</si>
  <si>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</si>
  <si>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European Union</t>
  </si>
  <si>
    <t>Fiji</t>
  </si>
  <si>
    <t>Gabon</t>
  </si>
  <si>
    <t>The 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</si>
  <si>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</si>
  <si>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</si>
  <si>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</si>
  <si>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</si>
  <si>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</si>
  <si>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</si>
  <si>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</si>
  <si>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</si>
  <si>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</si>
  <si>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</si>
  <si>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Iceland</t>
  </si>
  <si>
    <t>India</t>
  </si>
  <si>
    <t>Indonesia</t>
  </si>
  <si>
    <t>Iran</t>
  </si>
  <si>
    <t>Israel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</si>
  <si>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</si>
  <si>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</si>
  <si>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</si>
  <si>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</si>
  <si>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</si>
  <si>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</si>
  <si>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</si>
  <si>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</si>
  <si>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</si>
  <si>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</si>
  <si>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Lebanese Republic</t>
  </si>
  <si>
    <t>Lesotho</t>
  </si>
  <si>
    <t>Liberia</t>
  </si>
  <si>
    <t>Libya</t>
  </si>
  <si>
    <t>Macao, China</t>
  </si>
  <si>
    <t>Madagascar</t>
  </si>
  <si>
    <t>Malawi</t>
  </si>
  <si>
    <t>Malaysia</t>
  </si>
  <si>
    <t>Maldives</t>
  </si>
  <si>
    <t>Mali</t>
  </si>
  <si>
    <t>Mauritania</t>
  </si>
  <si>
    <t>Mauritius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</si>
  <si>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</si>
  <si>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</si>
  <si>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</si>
  <si>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</si>
  <si>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</si>
  <si>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</si>
  <si>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</si>
  <si>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</si>
  <si>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</si>
  <si>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</si>
  <si>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</si>
  <si>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</si>
  <si>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</si>
  <si>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</si>
  <si>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</si>
  <si>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</si>
  <si>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</si>
  <si>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</si>
  <si>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</si>
  <si>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</si>
  <si>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</si>
  <si>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</si>
  <si>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</si>
  <si>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</si>
  <si>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</si>
  <si>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</si>
  <si>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</si>
  <si>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</si>
  <si>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</si>
  <si>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</si>
  <si>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</si>
  <si>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</si>
  <si>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</si>
  <si>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</si>
  <si>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</si>
  <si>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</si>
  <si>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</si>
  <si>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</si>
  <si>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</si>
  <si>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</si>
  <si>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</si>
  <si>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</si>
  <si>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</si>
  <si>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</si>
  <si>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</si>
  <si>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</si>
  <si>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</si>
  <si>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</si>
  <si>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</si>
  <si>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</si>
  <si>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</si>
  <si>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</si>
  <si>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</si>
  <si>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</si>
  <si>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</si>
  <si>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</si>
  <si>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</si>
  <si>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</si>
  <si>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</si>
  <si>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</si>
  <si>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</si>
  <si>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</si>
  <si>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</si>
  <si>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</si>
  <si>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</si>
  <si>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</si>
  <si>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</si>
  <si>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</si>
  <si>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</si>
  <si>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</si>
  <si>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</si>
  <si>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</si>
  <si>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</si>
  <si>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Sum of 2018</t>
  </si>
  <si>
    <t>Sum of 2019</t>
  </si>
  <si>
    <t>Sum of 2020</t>
  </si>
  <si>
    <t>Sum of 2021</t>
  </si>
  <si>
    <t>Sum of 2022</t>
  </si>
  <si>
    <t>Sum of 2023</t>
  </si>
  <si>
    <t>Grand Total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</si>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</sst>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pivotButton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pra765" refreshedDate="45975.557770717591" createdVersion="8" refreshedVersion="8" minRefreshableVersion="3" recordCount="167" xr:uid="{006ECA09-495B-43E5-B147-AC06BD3C290D}">
  <cacheSource type="worksheet">
    <worksheetSource ref="A3:T170" sheet="Report"/>
  </cacheSource>
  <cacheFields count="20">
    <cacheField name="Reporting Economy" numFmtId="0">
      <sharedItems count="167">
        <s v="Afghanistan"/>
        <s v="Albania"/>
        <s v="Algeria"/>
        <s v="Angola"/>
        <s v="Antigua and Barbuda"/>
        <s v="Argentina"/>
        <s v="Armenia"/>
        <s v="Australia"/>
        <s v="Azerbaijan"/>
        <s v="Bahamas"/>
        <s v="Bahrain, Kingdom of"/>
        <s v="Bangladesh"/>
        <s v="Barbados"/>
        <s v="Belarus"/>
        <s v="Belize"/>
        <s v="Benin"/>
        <s v="Bermuda"/>
        <s v="Bhutan"/>
        <s v="Bolivia, Plurinational State of"/>
        <s v="Bosnia and Herzegovina"/>
        <s v="Botswana"/>
        <s v="Brazil"/>
        <s v="Brunei Darussalam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ôte d'Ivoire"/>
        <s v="Croatia"/>
        <s v="Cuba"/>
        <s v="Democratic Republic of the Congo"/>
        <s v="Djibouti"/>
        <s v="Dominica"/>
        <s v="Dominican Republic"/>
        <s v="Ecuador"/>
        <s v="Egypt"/>
        <s v="El Salvador"/>
        <s v="Equatorial Guinea"/>
        <s v="Eritrea"/>
        <s v="Eswatini"/>
        <s v="Ethiopia"/>
        <s v="European Union"/>
        <s v="Fiji"/>
        <s v="Gabon"/>
        <s v="The Gambia"/>
        <s v="Georgia"/>
        <s v="Ghana"/>
        <s v="Grenada"/>
        <s v="Guatemala"/>
        <s v="Guinea"/>
        <s v="Guinea-Bissau"/>
        <s v="Guyana"/>
        <s v="Haiti"/>
        <s v="Honduras"/>
        <s v="Hong Kong, China"/>
        <s v="Iceland"/>
        <s v="India"/>
        <s v="Indonesia"/>
        <s v="Iran"/>
        <s v="Israel"/>
        <s v="Jamaica"/>
        <s v="Japan"/>
        <s v="Jordan"/>
        <s v="Kazakhstan"/>
        <s v="Kenya"/>
        <s v="Kiribati"/>
        <s v="Korea, Republic of"/>
        <s v="Kuwait, the State of"/>
        <s v="Kyrgyz Republic"/>
        <s v="Lao People's Democratic Republic"/>
        <s v="Lebanese Republic"/>
        <s v="Lesotho"/>
        <s v="Liberia"/>
        <s v="Libya"/>
        <s v="Macao, China"/>
        <s v="Madagascar"/>
        <s v="Malawi"/>
        <s v="Malaysia"/>
        <s v="Maldives"/>
        <s v="Mali"/>
        <s v="Mauritania"/>
        <s v="Mauritius"/>
        <s v="Mexico"/>
        <s v="Micronesia, Federated States of"/>
        <s v="Moldova, Republic of"/>
        <s v="Mongolia"/>
        <s v="Montenegro"/>
        <s v="Morocco"/>
        <s v="Mozambique"/>
        <s v="Myanmar"/>
        <s v="Namibia"/>
        <s v="Nauru"/>
        <s v="Nepal"/>
        <s v="New Zealand"/>
        <s v="Nicaragua"/>
        <s v="Niger"/>
        <s v="Nigeria"/>
        <s v="North Macedonia"/>
        <s v="Norway"/>
        <s v="Oman"/>
        <s v="Pakistan"/>
        <s v="Palau"/>
        <s v="Panama"/>
        <s v="Papua New Guinea"/>
        <s v="Paraguay"/>
        <s v="Peru"/>
        <s v="Philippines"/>
        <s v="Qatar"/>
        <s v="Romania"/>
        <s v="Russian Federation"/>
        <s v="Rwanda"/>
        <s v="Saint Kitts and Nevis"/>
        <s v="Saint Lucia"/>
        <s v="Saint Vincent and the Grenadines"/>
        <s v="Samoa"/>
        <s v="Sao Tomé and Principe"/>
        <s v="Saudi Arabia, Kingdom of"/>
        <s v="Senegal"/>
        <s v="Serbia"/>
        <s v="Seychelles"/>
        <s v="Sierra Leone"/>
        <s v="Singapore"/>
        <s v="Solomon Islands"/>
        <s v="Somalia"/>
        <s v="South Africa"/>
        <s v="South Sudan"/>
        <s v="Sri Lanka"/>
        <s v="Sudan"/>
        <s v="Suriname"/>
        <s v="Switzerland"/>
        <s v="Syrian Arab Republic"/>
        <s v="Chinese Taipei"/>
        <s v="Tajikistan"/>
        <s v="Tanzania"/>
        <s v="Thailand"/>
        <s v="Timor-Leste"/>
        <s v="Togo"/>
        <s v="Tonga"/>
        <s v="Trinidad and Tobago"/>
        <s v="Tunisia"/>
        <s v="Türkiye"/>
        <s v="Tuvalu"/>
        <s v="Uganda"/>
        <s v="Ukraine"/>
        <s v="United Arab Emirates"/>
        <s v="United Kingdom"/>
        <s v="United States of America"/>
        <s v="Uruguay"/>
        <s v="Uzbekistan"/>
        <s v="Vanuatu"/>
        <s v="Venezuela, Bolivarian Republic of"/>
        <s v="Viet Nam"/>
        <s v="Yemen"/>
        <s v="Zambia"/>
        <s v="Zimbabwe"/>
      </sharedItems>
    </cacheField>
    <cacheField name="2005" numFmtId="0">
      <sharedItems containsString="0" containsBlank="1" containsNumber="1" minValue="2.9" maxValue="28.1"/>
    </cacheField>
    <cacheField name="2006" numFmtId="0">
      <sharedItems containsString="0" containsBlank="1" containsNumber="1" minValue="0" maxValue="30.2"/>
    </cacheField>
    <cacheField name="2007" numFmtId="0">
      <sharedItems containsString="0" containsBlank="1" containsNumber="1" minValue="0" maxValue="29.9"/>
    </cacheField>
    <cacheField name="2008" numFmtId="0">
      <sharedItems containsString="0" containsBlank="1" containsNumber="1" minValue="0" maxValue="27.8"/>
    </cacheField>
    <cacheField name="2009" numFmtId="0">
      <sharedItems containsString="0" containsBlank="1" containsNumber="1" minValue="0" maxValue="35.799999999999997"/>
    </cacheField>
    <cacheField name="2010" numFmtId="0">
      <sharedItems containsString="0" containsBlank="1" containsNumber="1" minValue="0" maxValue="35.9"/>
    </cacheField>
    <cacheField name="2011" numFmtId="0">
      <sharedItems containsString="0" containsBlank="1" containsNumber="1" minValue="0" maxValue="35.9"/>
    </cacheField>
    <cacheField name="2012" numFmtId="0">
      <sharedItems containsString="0" containsBlank="1" containsNumber="1" minValue="0" maxValue="21.2"/>
    </cacheField>
    <cacheField name="2013" numFmtId="0">
      <sharedItems containsString="0" containsBlank="1" containsNumber="1" minValue="0" maxValue="35.200000000000003"/>
    </cacheField>
    <cacheField name="2014" numFmtId="0">
      <sharedItems containsString="0" containsBlank="1" containsNumber="1" minValue="0" maxValue="35.1"/>
    </cacheField>
    <cacheField name="2015" numFmtId="0">
      <sharedItems containsString="0" containsBlank="1" containsNumber="1" minValue="0" maxValue="33.9"/>
    </cacheField>
    <cacheField name="2016" numFmtId="0">
      <sharedItems containsString="0" containsBlank="1" containsNumber="1" minValue="0" maxValue="33.200000000000003"/>
    </cacheField>
    <cacheField name="2017" numFmtId="0">
      <sharedItems containsString="0" containsBlank="1" containsNumber="1" minValue="0" maxValue="21.5"/>
    </cacheField>
    <cacheField name="2018" numFmtId="0">
      <sharedItems containsString="0" containsBlank="1" containsNumber="1" minValue="0" maxValue="32.5"/>
    </cacheField>
    <cacheField name="2019" numFmtId="0">
      <sharedItems containsString="0" containsBlank="1" containsNumber="1" minValue="0" maxValue="22.1"/>
    </cacheField>
    <cacheField name="2020" numFmtId="0">
      <sharedItems containsString="0" containsBlank="1" containsNumber="1" minValue="0" maxValue="20.100000000000001"/>
    </cacheField>
    <cacheField name="2021" numFmtId="0">
      <sharedItems containsString="0" containsBlank="1" containsNumber="1" minValue="0" maxValue="21.6"/>
    </cacheField>
    <cacheField name="2022" numFmtId="0">
      <sharedItems containsString="0" containsBlank="1" containsNumber="1" minValue="0" maxValue="19.5"/>
    </cacheField>
    <cacheField name="2023" numFmtId="0">
      <sharedItems containsString="0" containsBlank="1" containsNumber="1" minValue="0" maxValue="1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m/>
    <n v="5.7"/>
    <n v="5.7"/>
    <n v="5.6"/>
    <m/>
    <m/>
    <m/>
    <n v="5.9"/>
    <n v="5.9"/>
    <m/>
    <m/>
    <m/>
    <m/>
    <n v="6.5"/>
    <m/>
    <m/>
    <m/>
    <m/>
    <m/>
  </r>
  <r>
    <x v="1"/>
    <m/>
    <n v="5.7"/>
    <n v="5.4"/>
    <n v="5.2"/>
    <n v="5"/>
    <n v="5"/>
    <n v="5"/>
    <n v="3.8"/>
    <n v="3.8"/>
    <n v="3.8"/>
    <n v="3.8"/>
    <n v="3.8"/>
    <n v="3.6"/>
    <n v="3.6"/>
    <n v="3.6"/>
    <n v="3.6"/>
    <n v="3.6"/>
    <n v="3.6"/>
    <n v="3.5"/>
  </r>
  <r>
    <x v="2"/>
    <m/>
    <n v="18.7"/>
    <n v="18.600000000000001"/>
    <n v="18.600000000000001"/>
    <n v="18.600000000000001"/>
    <n v="18.600000000000001"/>
    <m/>
    <m/>
    <m/>
    <n v="18.8"/>
    <n v="18.8"/>
    <n v="18.899999999999999"/>
    <n v="18.8"/>
    <n v="18.899999999999999"/>
    <n v="18.899999999999999"/>
    <m/>
    <n v="19"/>
    <n v="18.899999999999999"/>
    <m/>
  </r>
  <r>
    <x v="3"/>
    <m/>
    <n v="7.2"/>
    <n v="7.3"/>
    <n v="7.3"/>
    <n v="7.3"/>
    <m/>
    <n v="7.3"/>
    <m/>
    <n v="7.3"/>
    <n v="11.4"/>
    <n v="11.4"/>
    <n v="11.4"/>
    <m/>
    <n v="9.1999999999999993"/>
    <n v="10.199999999999999"/>
    <m/>
    <n v="10.9"/>
    <n v="11"/>
    <n v="11"/>
  </r>
  <r>
    <x v="4"/>
    <m/>
    <n v="9.6999999999999993"/>
    <n v="9.6999999999999993"/>
    <n v="9.6999999999999993"/>
    <n v="9.8000000000000007"/>
    <m/>
    <n v="10.4"/>
    <n v="10"/>
    <n v="10.5"/>
    <n v="9.9"/>
    <n v="9.9"/>
    <n v="9.9"/>
    <n v="9.9"/>
    <n v="9.9"/>
    <n v="9.9"/>
    <m/>
    <n v="9.9"/>
    <n v="9.9"/>
    <m/>
  </r>
  <r>
    <x v="5"/>
    <m/>
    <n v="12.2"/>
    <n v="12"/>
    <n v="11.6"/>
    <n v="12.6"/>
    <n v="12.6"/>
    <n v="13.6"/>
    <n v="12.5"/>
    <n v="13.4"/>
    <n v="13.6"/>
    <n v="13.6"/>
    <n v="13.7"/>
    <n v="13.7"/>
    <n v="13.7"/>
    <n v="13.5"/>
    <n v="13.4"/>
    <n v="13.4"/>
    <n v="13.3"/>
    <n v="13.4"/>
  </r>
  <r>
    <x v="6"/>
    <m/>
    <n v="2.9"/>
    <m/>
    <n v="2.9"/>
    <m/>
    <m/>
    <m/>
    <n v="3.5"/>
    <n v="3.5"/>
    <n v="3.7"/>
    <n v="6.1"/>
    <n v="6.2"/>
    <n v="6"/>
    <n v="6.5"/>
    <n v="6.3"/>
    <m/>
    <n v="6.3"/>
    <n v="6.3"/>
    <n v="6.3"/>
  </r>
  <r>
    <x v="7"/>
    <m/>
    <n v="3.5"/>
    <n v="3.5"/>
    <n v="3.5"/>
    <n v="3.5"/>
    <n v="2.8"/>
    <n v="2.8"/>
    <n v="2.7"/>
    <n v="2.7"/>
    <n v="2.7"/>
    <n v="2.5"/>
    <n v="2.5"/>
    <n v="2.5"/>
    <n v="2.5"/>
    <n v="2.4"/>
    <n v="2.4"/>
    <n v="2.4"/>
    <n v="2.4"/>
    <n v="2.4"/>
  </r>
  <r>
    <x v="8"/>
    <n v="9.6"/>
    <m/>
    <n v="9.1999999999999993"/>
    <n v="9.1"/>
    <n v="9"/>
    <m/>
    <n v="9"/>
    <n v="9.1"/>
    <n v="9"/>
    <n v="9.1"/>
    <n v="9.1"/>
    <m/>
    <m/>
    <m/>
    <n v="8.6999999999999993"/>
    <m/>
    <n v="8.5"/>
    <n v="8.1999999999999993"/>
    <n v="8.1999999999999993"/>
  </r>
  <r>
    <x v="9"/>
    <m/>
    <n v="30.2"/>
    <n v="29.9"/>
    <m/>
    <n v="35.799999999999997"/>
    <n v="35.9"/>
    <n v="35.9"/>
    <m/>
    <n v="35.200000000000003"/>
    <n v="35.1"/>
    <n v="33.9"/>
    <n v="33.200000000000003"/>
    <m/>
    <n v="32.5"/>
    <m/>
    <m/>
    <m/>
    <m/>
    <m/>
  </r>
  <r>
    <x v="10"/>
    <m/>
    <n v="5.0999999999999996"/>
    <n v="5"/>
    <n v="5.2"/>
    <n v="5.0999999999999996"/>
    <m/>
    <n v="5.0999999999999996"/>
    <n v="5"/>
    <n v="4.7"/>
    <n v="4.7"/>
    <n v="4.7"/>
    <n v="4.7"/>
    <n v="4.8"/>
    <n v="5.3"/>
    <n v="4.8"/>
    <n v="4.8"/>
    <n v="4.8"/>
    <n v="4.5"/>
    <n v="4.5"/>
  </r>
  <r>
    <x v="11"/>
    <m/>
    <n v="15.2"/>
    <n v="14.6"/>
    <n v="14.8"/>
    <m/>
    <m/>
    <n v="14.4"/>
    <m/>
    <n v="13.9"/>
    <m/>
    <n v="13.9"/>
    <n v="13.9"/>
    <m/>
    <n v="14"/>
    <n v="14"/>
    <m/>
    <n v="14"/>
    <n v="14.1"/>
    <n v="14.1"/>
  </r>
  <r>
    <x v="12"/>
    <m/>
    <n v="13.5"/>
    <n v="13.5"/>
    <m/>
    <m/>
    <m/>
    <n v="10.7"/>
    <n v="12.3"/>
    <n v="10.7"/>
    <m/>
    <m/>
    <m/>
    <m/>
    <m/>
    <m/>
    <m/>
    <n v="11.7"/>
    <n v="13.9"/>
    <m/>
  </r>
  <r>
    <x v="13"/>
    <m/>
    <m/>
    <n v="11.3"/>
    <n v="10.8"/>
    <n v="10.6"/>
    <n v="9.5"/>
    <n v="9.8000000000000007"/>
    <n v="9.6999999999999993"/>
    <n v="9.1999999999999993"/>
    <n v="8.4"/>
    <n v="7.8"/>
    <n v="7.2"/>
    <n v="6.8"/>
    <n v="6.8"/>
    <n v="6.8"/>
    <m/>
    <n v="6.7"/>
    <n v="6.6"/>
    <n v="6.6"/>
  </r>
  <r>
    <x v="14"/>
    <m/>
    <n v="10.8"/>
    <n v="10.8"/>
    <n v="10.8"/>
    <n v="11"/>
    <n v="11"/>
    <n v="11"/>
    <n v="10.8"/>
    <n v="11.1"/>
    <n v="11.6"/>
    <n v="10.9"/>
    <n v="10.9"/>
    <n v="11.7"/>
    <n v="11.9"/>
    <n v="11.9"/>
    <m/>
    <n v="11.9"/>
    <m/>
    <n v="11.9"/>
  </r>
  <r>
    <x v="15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"/>
    <n v="12"/>
  </r>
  <r>
    <x v="16"/>
    <n v="18.3"/>
    <m/>
    <n v="18.399999999999999"/>
    <n v="18.100000000000001"/>
    <n v="17.8"/>
    <n v="17.8"/>
    <m/>
    <m/>
    <m/>
    <m/>
    <m/>
    <m/>
    <m/>
    <m/>
    <m/>
    <m/>
    <m/>
    <m/>
    <m/>
  </r>
  <r>
    <x v="17"/>
    <n v="22.1"/>
    <m/>
    <n v="21.9"/>
    <m/>
    <m/>
    <m/>
    <m/>
    <m/>
    <m/>
    <m/>
    <n v="22.3"/>
    <m/>
    <m/>
    <m/>
    <n v="22.1"/>
    <m/>
    <n v="9.6999999999999993"/>
    <n v="9.8000000000000007"/>
    <n v="9.3000000000000007"/>
  </r>
  <r>
    <x v="18"/>
    <m/>
    <n v="8.3000000000000007"/>
    <n v="8.3000000000000007"/>
    <n v="8.3000000000000007"/>
    <n v="10.3"/>
    <n v="11.2"/>
    <n v="11.2"/>
    <n v="11.2"/>
    <n v="11.6"/>
    <n v="11.6"/>
    <n v="11.6"/>
    <n v="11.7"/>
    <n v="11.8"/>
    <n v="11.8"/>
    <n v="11.8"/>
    <n v="11.8"/>
    <n v="11.8"/>
    <n v="11.7"/>
    <n v="11.8"/>
  </r>
  <r>
    <x v="19"/>
    <m/>
    <n v="7.2"/>
    <n v="7"/>
    <n v="6.8"/>
    <n v="6.6"/>
    <n v="6.5"/>
    <n v="6.6"/>
    <n v="6.6"/>
    <n v="6.4"/>
    <n v="6.4"/>
    <n v="6.3"/>
    <n v="6.3"/>
    <n v="6.3"/>
    <n v="6.3"/>
    <n v="6.3"/>
    <m/>
    <n v="6.4"/>
    <n v="6.2"/>
    <n v="6.2"/>
  </r>
  <r>
    <x v="20"/>
    <m/>
    <n v="8"/>
    <n v="7.8"/>
    <n v="7.8"/>
    <n v="7.7"/>
    <n v="7.7"/>
    <n v="7.7"/>
    <n v="7.5"/>
    <n v="7.6"/>
    <n v="7.6"/>
    <n v="7.6"/>
    <n v="7.6"/>
    <n v="7.6"/>
    <n v="7.7"/>
    <n v="7.7"/>
    <n v="7.7"/>
    <n v="7.7"/>
    <n v="7.6"/>
    <n v="7.5"/>
  </r>
  <r>
    <x v="21"/>
    <m/>
    <n v="12.3"/>
    <n v="12.2"/>
    <n v="13.6"/>
    <n v="13.6"/>
    <n v="13.7"/>
    <n v="13.7"/>
    <n v="13.5"/>
    <n v="13.5"/>
    <n v="13.5"/>
    <n v="13.5"/>
    <n v="13.5"/>
    <n v="13.4"/>
    <n v="13.4"/>
    <n v="13.4"/>
    <n v="13.3"/>
    <n v="13.3"/>
    <n v="11.1"/>
    <n v="11.2"/>
  </r>
  <r>
    <x v="22"/>
    <m/>
    <n v="3.3"/>
    <n v="3.6"/>
    <n v="2.5"/>
    <m/>
    <n v="2.5"/>
    <n v="2.5"/>
    <m/>
    <m/>
    <n v="1.2"/>
    <m/>
    <n v="1.2"/>
    <n v="0.3"/>
    <n v="0.3"/>
    <n v="0.3"/>
    <m/>
    <n v="0.3"/>
    <n v="0.2"/>
    <n v="0.5"/>
  </r>
  <r>
    <x v="23"/>
    <m/>
    <n v="10.4"/>
    <m/>
    <m/>
    <m/>
    <m/>
    <m/>
    <m/>
    <m/>
    <m/>
    <m/>
    <m/>
    <m/>
    <m/>
    <m/>
    <m/>
    <m/>
    <m/>
    <m/>
  </r>
  <r>
    <x v="24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"/>
    <n v="12"/>
  </r>
  <r>
    <x v="25"/>
    <m/>
    <n v="12.7"/>
    <n v="12.7"/>
    <n v="12.7"/>
    <m/>
    <n v="12.5"/>
    <n v="12.5"/>
    <n v="12.8"/>
    <n v="12.8"/>
    <n v="12.8"/>
    <n v="12.8"/>
    <n v="12.8"/>
    <n v="12.8"/>
    <n v="12.8"/>
    <n v="12.8"/>
    <n v="12.8"/>
    <n v="12.8"/>
    <n v="13.6"/>
    <n v="14"/>
  </r>
  <r>
    <x v="26"/>
    <n v="10.4"/>
    <m/>
    <n v="10.4"/>
    <n v="10.4"/>
    <n v="10.4"/>
    <n v="10.199999999999999"/>
    <n v="10.199999999999999"/>
    <n v="10.1"/>
    <n v="10.1"/>
    <n v="10.1"/>
    <n v="10"/>
    <m/>
    <n v="10"/>
    <m/>
    <n v="10.199999999999999"/>
    <n v="10.199999999999999"/>
    <n v="10.199999999999999"/>
    <n v="11.9"/>
    <n v="11.9"/>
  </r>
  <r>
    <x v="27"/>
    <m/>
    <n v="14.3"/>
    <n v="14.2"/>
    <n v="14.2"/>
    <m/>
    <m/>
    <n v="10.9"/>
    <n v="10.9"/>
    <m/>
    <n v="11.2"/>
    <m/>
    <n v="11.2"/>
    <n v="11.1"/>
    <m/>
    <m/>
    <n v="10.3"/>
    <n v="10.199999999999999"/>
    <n v="10.199999999999999"/>
    <n v="9.4"/>
  </r>
  <r>
    <x v="28"/>
    <n v="18"/>
    <m/>
    <n v="17.899999999999999"/>
    <n v="17.8"/>
    <n v="17.8"/>
    <m/>
    <n v="17.899999999999999"/>
    <n v="17.8"/>
    <n v="18"/>
    <n v="18.2"/>
    <m/>
    <m/>
    <m/>
    <m/>
    <n v="18.2"/>
    <m/>
    <m/>
    <n v="18.100000000000001"/>
    <n v="18.100000000000001"/>
  </r>
  <r>
    <x v="29"/>
    <m/>
    <n v="5.5"/>
    <n v="5.5"/>
    <n v="4.7"/>
    <n v="4.5"/>
    <n v="3.7"/>
    <n v="4.5"/>
    <n v="4.3"/>
    <n v="4.2"/>
    <n v="4.2"/>
    <n v="4.2"/>
    <n v="4.0999999999999996"/>
    <n v="4"/>
    <n v="4"/>
    <n v="3.9"/>
    <n v="3.9"/>
    <n v="4"/>
    <n v="3.8"/>
    <n v="3.8"/>
  </r>
  <r>
    <x v="30"/>
    <n v="18"/>
    <m/>
    <n v="17.899999999999999"/>
    <m/>
    <n v="17.899999999999999"/>
    <m/>
    <n v="17.899999999999999"/>
    <m/>
    <n v="18"/>
    <m/>
    <n v="18"/>
    <n v="18"/>
    <n v="18"/>
    <m/>
    <m/>
    <m/>
    <m/>
    <n v="18.100000000000001"/>
    <n v="18.100000000000001"/>
  </r>
  <r>
    <x v="31"/>
    <n v="18"/>
    <m/>
    <n v="17.899999999999999"/>
    <m/>
    <n v="17.899999999999999"/>
    <m/>
    <n v="17.899999999999999"/>
    <m/>
    <n v="18"/>
    <m/>
    <n v="17.899999999999999"/>
    <n v="17.899999999999999"/>
    <m/>
    <m/>
    <m/>
    <m/>
    <m/>
    <n v="18.100000000000001"/>
    <n v="18.100000000000001"/>
  </r>
  <r>
    <x v="32"/>
    <m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x v="33"/>
    <m/>
    <n v="9.9"/>
    <n v="9.9"/>
    <n v="9.6"/>
    <n v="9.6"/>
    <n v="9.6999999999999993"/>
    <n v="9.6"/>
    <m/>
    <n v="9.9"/>
    <n v="9.6"/>
    <n v="9.9"/>
    <n v="9.9"/>
    <n v="9.8000000000000007"/>
    <n v="9.8000000000000007"/>
    <n v="7.6"/>
    <n v="7.5"/>
    <n v="7.5"/>
    <n v="7.5"/>
    <n v="7.5"/>
  </r>
  <r>
    <x v="34"/>
    <m/>
    <n v="12.5"/>
    <n v="12.5"/>
    <n v="12.5"/>
    <n v="12.5"/>
    <n v="12.5"/>
    <n v="8.3000000000000007"/>
    <n v="8.8000000000000007"/>
    <n v="8.8000000000000007"/>
    <n v="5.8"/>
    <n v="5.7"/>
    <n v="6.6"/>
    <n v="5.7"/>
    <n v="5.5"/>
    <n v="5.4"/>
    <n v="5.8"/>
    <n v="5.8"/>
    <n v="5.8"/>
    <n v="6.7"/>
  </r>
  <r>
    <x v="35"/>
    <m/>
    <n v="28.9"/>
    <m/>
    <n v="11.3"/>
    <m/>
    <n v="11.3"/>
    <n v="11.3"/>
    <n v="8.8000000000000007"/>
    <n v="15.3"/>
    <n v="15.3"/>
    <n v="15.3"/>
    <m/>
    <n v="15.4"/>
    <n v="15.4"/>
    <n v="15.8"/>
    <m/>
    <n v="15.1"/>
    <n v="15.1"/>
    <m/>
  </r>
  <r>
    <x v="36"/>
    <m/>
    <n v="18.399999999999999"/>
    <n v="17.899999999999999"/>
    <m/>
    <m/>
    <m/>
    <n v="17.899999999999999"/>
    <m/>
    <n v="18"/>
    <n v="18.100000000000001"/>
    <n v="11.9"/>
    <m/>
    <m/>
    <m/>
    <m/>
    <m/>
    <m/>
    <n v="18.100000000000001"/>
    <n v="18.100000000000001"/>
  </r>
  <r>
    <x v="37"/>
    <m/>
    <m/>
    <m/>
    <m/>
    <m/>
    <n v="3"/>
    <m/>
    <n v="3.1"/>
    <n v="3.3"/>
    <m/>
    <n v="3.4"/>
    <n v="3.4"/>
    <n v="3.3"/>
    <n v="3.3"/>
    <n v="3.4"/>
    <m/>
    <n v="3.5"/>
    <n v="3.3"/>
    <n v="3.4"/>
  </r>
  <r>
    <x v="38"/>
    <n v="5.9"/>
    <m/>
    <n v="5.5"/>
    <n v="6.4"/>
    <n v="5.4"/>
    <n v="5.4"/>
    <n v="5.3"/>
    <n v="5.6"/>
    <n v="5.6"/>
    <n v="5.6"/>
    <m/>
    <n v="5.6"/>
    <n v="5.6"/>
    <n v="5.6"/>
    <n v="5.6"/>
    <n v="5.6"/>
    <n v="5.6"/>
    <n v="5.5"/>
    <n v="5.5"/>
  </r>
  <r>
    <x v="39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.1"/>
    <n v="12.1"/>
  </r>
  <r>
    <x v="40"/>
    <m/>
    <n v="4.9000000000000004"/>
    <n v="5"/>
    <n v="4.8"/>
    <n v="4.9000000000000004"/>
    <n v="4.8"/>
    <n v="4.9000000000000004"/>
    <n v="5"/>
    <m/>
    <m/>
    <m/>
    <m/>
    <m/>
    <m/>
    <m/>
    <m/>
    <m/>
    <m/>
    <m/>
  </r>
  <r>
    <x v="41"/>
    <m/>
    <n v="10.8"/>
    <n v="10.8"/>
    <n v="10.7"/>
    <n v="10.7"/>
    <n v="10.7"/>
    <n v="10.7"/>
    <n v="10.7"/>
    <n v="10.3"/>
    <n v="10.6"/>
    <n v="10.6"/>
    <n v="10.199999999999999"/>
    <n v="10.199999999999999"/>
    <m/>
    <n v="10.1"/>
    <n v="10.1"/>
    <n v="4.4000000000000004"/>
    <n v="4.4000000000000004"/>
    <n v="4.4000000000000004"/>
  </r>
  <r>
    <x v="42"/>
    <m/>
    <n v="12"/>
    <n v="12"/>
    <n v="12"/>
    <n v="12"/>
    <n v="11"/>
    <m/>
    <m/>
    <m/>
    <n v="10.9"/>
    <n v="10.9"/>
    <m/>
    <m/>
    <m/>
    <n v="10.9"/>
    <n v="10.9"/>
    <m/>
    <m/>
    <m/>
  </r>
  <r>
    <x v="43"/>
    <n v="28.1"/>
    <m/>
    <n v="27.8"/>
    <n v="27.8"/>
    <n v="20.9"/>
    <m/>
    <n v="21"/>
    <n v="21"/>
    <m/>
    <n v="20.9"/>
    <m/>
    <m/>
    <m/>
    <m/>
    <m/>
    <m/>
    <m/>
    <m/>
    <m/>
  </r>
  <r>
    <x v="44"/>
    <m/>
    <n v="9.9"/>
    <n v="9.9"/>
    <m/>
    <m/>
    <m/>
    <n v="10.199999999999999"/>
    <n v="10"/>
    <n v="10.3"/>
    <n v="10"/>
    <n v="10"/>
    <n v="10"/>
    <n v="9.9"/>
    <m/>
    <m/>
    <n v="10.7"/>
    <m/>
    <m/>
    <n v="10.7"/>
  </r>
  <r>
    <x v="45"/>
    <m/>
    <n v="8.5"/>
    <m/>
    <n v="7"/>
    <m/>
    <m/>
    <m/>
    <n v="7.3"/>
    <n v="7.3"/>
    <n v="7.3"/>
    <n v="7.3"/>
    <n v="7.3"/>
    <n v="7.3"/>
    <n v="7.6"/>
    <n v="7.6"/>
    <m/>
    <n v="7.5"/>
    <n v="7.6"/>
    <n v="7.6"/>
  </r>
  <r>
    <x v="46"/>
    <m/>
    <n v="11.7"/>
    <n v="11.7"/>
    <n v="11.3"/>
    <n v="11.2"/>
    <n v="11.2"/>
    <n v="10.1"/>
    <n v="10.1"/>
    <m/>
    <n v="11.9"/>
    <n v="11.9"/>
    <n v="12.3"/>
    <n v="12.2"/>
    <n v="12.3"/>
    <n v="12.3"/>
    <m/>
    <n v="11.2"/>
    <n v="11.2"/>
    <n v="11.1"/>
  </r>
  <r>
    <x v="47"/>
    <n v="19.3"/>
    <m/>
    <n v="16.7"/>
    <n v="16.7"/>
    <n v="17"/>
    <m/>
    <n v="16.8"/>
    <n v="16.8"/>
    <m/>
    <n v="16.8"/>
    <n v="16.8"/>
    <n v="17.899999999999999"/>
    <n v="19.100000000000001"/>
    <n v="19.100000000000001"/>
    <n v="19"/>
    <m/>
    <m/>
    <m/>
    <m/>
  </r>
  <r>
    <x v="48"/>
    <n v="5.9"/>
    <m/>
    <n v="6.7"/>
    <n v="5.9"/>
    <n v="5.9"/>
    <n v="5.9"/>
    <n v="5.9"/>
    <n v="6"/>
    <n v="6"/>
    <n v="6"/>
    <n v="6"/>
    <m/>
    <n v="6"/>
    <n v="6"/>
    <n v="6"/>
    <n v="6"/>
    <n v="6"/>
    <n v="5.9"/>
    <n v="5.7"/>
  </r>
  <r>
    <x v="49"/>
    <n v="18"/>
    <m/>
    <n v="17.899999999999999"/>
    <m/>
    <m/>
    <m/>
    <m/>
    <m/>
    <m/>
    <m/>
    <m/>
    <m/>
    <m/>
    <m/>
    <m/>
    <m/>
    <m/>
    <m/>
    <m/>
  </r>
  <r>
    <x v="50"/>
    <m/>
    <n v="7.9"/>
    <m/>
    <m/>
    <m/>
    <m/>
    <m/>
    <m/>
    <m/>
    <m/>
    <m/>
    <m/>
    <m/>
    <m/>
    <m/>
    <m/>
    <m/>
    <m/>
    <m/>
  </r>
  <r>
    <x v="51"/>
    <m/>
    <n v="8"/>
    <n v="7.8"/>
    <n v="7.8"/>
    <n v="7.7"/>
    <n v="7.7"/>
    <n v="7.7"/>
    <n v="7.6"/>
    <n v="7.6"/>
    <n v="7.6"/>
    <n v="7.6"/>
    <n v="7.7"/>
    <n v="7.6"/>
    <n v="7.7"/>
    <n v="7.7"/>
    <n v="7.7"/>
    <n v="7.7"/>
    <n v="7.6"/>
    <n v="7.5"/>
  </r>
  <r>
    <x v="52"/>
    <m/>
    <n v="16.8"/>
    <n v="16.8"/>
    <n v="17.3"/>
    <n v="17.3"/>
    <n v="17.3"/>
    <n v="17.3"/>
    <n v="17.3"/>
    <m/>
    <m/>
    <n v="17.399999999999999"/>
    <m/>
    <m/>
    <n v="17.399999999999999"/>
    <m/>
    <m/>
    <n v="17"/>
    <m/>
    <m/>
  </r>
  <r>
    <x v="53"/>
    <m/>
    <n v="5.4"/>
    <n v="5.2"/>
    <n v="5.6"/>
    <n v="5.3"/>
    <n v="5.0999999999999996"/>
    <n v="5.3"/>
    <n v="5.5"/>
    <n v="5.5"/>
    <n v="5.3"/>
    <n v="5.0999999999999996"/>
    <n v="5.2"/>
    <n v="5.0999999999999996"/>
    <n v="5.2"/>
    <n v="5.0999999999999996"/>
    <n v="5.0999999999999996"/>
    <n v="5.2"/>
    <n v="5.0999999999999996"/>
    <n v="5"/>
  </r>
  <r>
    <x v="54"/>
    <m/>
    <n v="9.6"/>
    <m/>
    <n v="11.7"/>
    <n v="12"/>
    <n v="11.9"/>
    <n v="12"/>
    <n v="16.899999999999999"/>
    <n v="11.4"/>
    <n v="11.6"/>
    <n v="11.7"/>
    <m/>
    <n v="11.1"/>
    <n v="11.1"/>
    <n v="11.4"/>
    <m/>
    <n v="7.9"/>
    <n v="7.4"/>
    <n v="8.1999999999999993"/>
  </r>
  <r>
    <x v="55"/>
    <n v="18"/>
    <m/>
    <n v="17.899999999999999"/>
    <n v="17.8"/>
    <n v="17.8"/>
    <m/>
    <n v="17.899999999999999"/>
    <m/>
    <n v="18.100000000000001"/>
    <n v="17.7"/>
    <n v="17.7"/>
    <n v="17.7"/>
    <m/>
    <m/>
    <n v="17.7"/>
    <m/>
    <m/>
    <n v="18.100000000000001"/>
    <n v="18.100000000000001"/>
  </r>
  <r>
    <x v="56"/>
    <m/>
    <m/>
    <n v="19"/>
    <n v="19"/>
    <n v="18.7"/>
    <n v="14"/>
    <n v="14.1"/>
    <n v="14.1"/>
    <n v="14.1"/>
    <m/>
    <m/>
    <m/>
    <n v="12.2"/>
    <n v="12.2"/>
    <n v="12.1"/>
    <n v="12.1"/>
    <n v="12.1"/>
    <n v="12"/>
    <n v="12"/>
  </r>
  <r>
    <x v="57"/>
    <m/>
    <n v="7"/>
    <n v="1.4"/>
    <n v="1.4"/>
    <n v="1.3"/>
    <n v="1.3"/>
    <n v="1.5"/>
    <n v="1.5"/>
    <n v="1.4"/>
    <n v="1.5"/>
    <n v="1.5"/>
    <n v="1.5"/>
    <n v="1.5"/>
    <n v="1.4"/>
    <n v="1.4"/>
    <n v="1.4"/>
    <n v="1.4"/>
    <n v="1.4"/>
    <n v="1.5"/>
  </r>
  <r>
    <x v="58"/>
    <m/>
    <m/>
    <n v="13"/>
    <n v="13"/>
    <n v="13"/>
    <n v="13"/>
    <m/>
    <m/>
    <n v="12.9"/>
    <m/>
    <m/>
    <n v="12.2"/>
    <n v="12.1"/>
    <n v="11.9"/>
    <n v="12.1"/>
    <n v="12.1"/>
    <n v="12.1"/>
    <n v="12"/>
    <n v="12"/>
  </r>
  <r>
    <x v="59"/>
    <m/>
    <n v="10.199999999999999"/>
    <n v="10.199999999999999"/>
    <n v="10.199999999999999"/>
    <m/>
    <n v="10.4"/>
    <n v="10.3"/>
    <n v="10.4"/>
    <n v="10.4"/>
    <n v="10.4"/>
    <n v="11"/>
    <n v="11"/>
    <m/>
    <m/>
    <n v="11"/>
    <m/>
    <m/>
    <n v="11"/>
    <n v="11"/>
  </r>
  <r>
    <x v="60"/>
    <n v="5.6"/>
    <m/>
    <n v="5.6"/>
    <n v="5.6"/>
    <n v="5.6"/>
    <n v="5.6"/>
    <n v="5.5"/>
    <n v="5.7"/>
    <n v="5.6"/>
    <n v="5.6"/>
    <n v="5.6"/>
    <m/>
    <m/>
    <m/>
    <m/>
    <m/>
    <n v="5.6"/>
    <n v="5.5"/>
    <n v="5.6"/>
  </r>
  <r>
    <x v="61"/>
    <n v="11.9"/>
    <m/>
    <n v="11.8"/>
    <n v="11.8"/>
    <n v="11.8"/>
    <n v="11.8"/>
    <m/>
    <n v="11.9"/>
    <m/>
    <m/>
    <m/>
    <m/>
    <n v="12.1"/>
    <n v="12.1"/>
    <n v="12.1"/>
    <n v="12.1"/>
    <n v="12.1"/>
    <n v="12"/>
    <n v="12"/>
  </r>
  <r>
    <x v="62"/>
    <m/>
    <n v="12"/>
    <n v="11.9"/>
    <n v="11.9"/>
    <n v="11.9"/>
    <n v="11.9"/>
    <n v="11.9"/>
    <n v="11.9"/>
    <n v="11.9"/>
    <n v="11.9"/>
    <m/>
    <m/>
    <n v="12.2"/>
    <n v="12.2"/>
    <n v="12.1"/>
    <n v="12.1"/>
    <n v="12.1"/>
    <n v="12"/>
    <n v="12"/>
  </r>
  <r>
    <x v="63"/>
    <m/>
    <n v="11.1"/>
    <m/>
    <n v="10.9"/>
    <m/>
    <n v="10.9"/>
    <n v="11.1"/>
    <n v="10.9"/>
    <n v="11.2"/>
    <m/>
    <n v="10.9"/>
    <n v="10.9"/>
    <n v="10.9"/>
    <n v="10.9"/>
    <n v="11.7"/>
    <m/>
    <n v="11.7"/>
    <n v="11.7"/>
    <n v="11.7"/>
  </r>
  <r>
    <x v="64"/>
    <m/>
    <n v="2.8"/>
    <n v="2.8"/>
    <n v="2.8"/>
    <n v="2.8"/>
    <n v="4.7"/>
    <n v="4.7"/>
    <n v="2.8"/>
    <n v="4.8"/>
    <n v="4.8"/>
    <n v="4.8"/>
    <n v="8.8000000000000007"/>
    <m/>
    <m/>
    <m/>
    <n v="4.9000000000000004"/>
    <m/>
    <m/>
    <n v="4.9000000000000004"/>
  </r>
  <r>
    <x v="65"/>
    <n v="5.6"/>
    <m/>
    <n v="5.6"/>
    <n v="5.6"/>
    <n v="5.6"/>
    <m/>
    <n v="5.6"/>
    <n v="5.8"/>
    <n v="5.7"/>
    <n v="5.7"/>
    <n v="5.7"/>
    <m/>
    <m/>
    <n v="5.7"/>
    <n v="5.7"/>
    <n v="5.8"/>
    <n v="5.8"/>
    <n v="5.7"/>
    <n v="5.7"/>
  </r>
  <r>
    <x v="6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m/>
    <n v="7.7"/>
    <n v="7.3"/>
    <n v="7.3"/>
    <n v="5.8"/>
    <n v="5.5"/>
    <n v="5.6"/>
    <n v="5.5"/>
    <n v="5.4"/>
    <n v="5.3"/>
    <n v="5.2"/>
    <n v="4.7"/>
    <n v="4"/>
    <n v="4.3"/>
    <n v="3.1"/>
    <m/>
    <n v="3.1"/>
    <n v="3.3"/>
    <n v="3.3"/>
  </r>
  <r>
    <x v="68"/>
    <n v="19.2"/>
    <m/>
    <n v="14.5"/>
    <n v="13"/>
    <n v="12.9"/>
    <n v="12.6"/>
    <m/>
    <n v="13.7"/>
    <n v="13.5"/>
    <n v="13.5"/>
    <n v="13.4"/>
    <n v="13.4"/>
    <n v="13.8"/>
    <n v="17.100000000000001"/>
    <n v="17.600000000000001"/>
    <n v="15"/>
    <n v="18.3"/>
    <n v="18.100000000000001"/>
    <n v="17"/>
  </r>
  <r>
    <x v="69"/>
    <m/>
    <n v="6.9"/>
    <n v="6.9"/>
    <m/>
    <n v="6.8"/>
    <n v="6.8"/>
    <n v="7"/>
    <n v="7"/>
    <n v="6.8"/>
    <n v="6.9"/>
    <m/>
    <n v="7.9"/>
    <n v="8.1"/>
    <n v="8.1"/>
    <n v="8.1"/>
    <m/>
    <n v="8.1"/>
    <n v="8"/>
    <n v="8"/>
  </r>
  <r>
    <x v="70"/>
    <m/>
    <m/>
    <n v="26.2"/>
    <n v="26"/>
    <m/>
    <m/>
    <n v="26.6"/>
    <m/>
    <m/>
    <m/>
    <m/>
    <m/>
    <m/>
    <m/>
    <n v="20.100000000000001"/>
    <n v="20.100000000000001"/>
    <m/>
    <m/>
    <m/>
  </r>
  <r>
    <x v="71"/>
    <m/>
    <n v="6.5"/>
    <m/>
    <n v="6.8"/>
    <n v="6.4"/>
    <m/>
    <m/>
    <n v="5.7"/>
    <n v="4.5999999999999996"/>
    <n v="4.5999999999999996"/>
    <n v="4.5"/>
    <n v="3.9"/>
    <n v="3.9"/>
    <m/>
    <n v="3.6"/>
    <n v="3.5"/>
    <n v="3.6"/>
    <n v="3.4"/>
    <n v="1.3"/>
  </r>
  <r>
    <x v="72"/>
    <m/>
    <n v="7.3"/>
    <n v="7.5"/>
    <m/>
    <n v="7.5"/>
    <n v="7.5"/>
    <n v="7.6"/>
    <m/>
    <n v="10.4"/>
    <n v="8.5"/>
    <n v="8.5"/>
    <n v="8.5"/>
    <m/>
    <m/>
    <n v="8.6"/>
    <m/>
    <n v="8.6"/>
    <m/>
    <n v="8.5"/>
  </r>
  <r>
    <x v="73"/>
    <m/>
    <n v="5.6"/>
    <n v="5.0999999999999996"/>
    <n v="5.4"/>
    <n v="4.9000000000000004"/>
    <n v="4.4000000000000004"/>
    <n v="5.3"/>
    <n v="4.5999999999999996"/>
    <n v="4.9000000000000004"/>
    <n v="4.2"/>
    <n v="4"/>
    <n v="4"/>
    <n v="4"/>
    <n v="4.4000000000000004"/>
    <n v="4.3"/>
    <n v="4.4000000000000004"/>
    <n v="4.2"/>
    <n v="3.9"/>
    <n v="3.7"/>
  </r>
  <r>
    <x v="74"/>
    <m/>
    <n v="11.5"/>
    <n v="11.2"/>
    <n v="10.8"/>
    <n v="10.199999999999999"/>
    <n v="10"/>
    <m/>
    <n v="10.9"/>
    <n v="9.5"/>
    <n v="10.199999999999999"/>
    <n v="9.9"/>
    <n v="9.6999999999999993"/>
    <n v="9.9"/>
    <n v="10.1"/>
    <n v="10.1"/>
    <n v="10.1"/>
    <m/>
    <m/>
    <n v="4"/>
  </r>
  <r>
    <x v="75"/>
    <m/>
    <m/>
    <n v="7.8"/>
    <n v="6"/>
    <n v="5.9"/>
    <n v="9.1999999999999993"/>
    <n v="9.6"/>
    <n v="9.5"/>
    <n v="9.1"/>
    <n v="8.6"/>
    <n v="7.8"/>
    <n v="6.9"/>
    <n v="6.5"/>
    <n v="6.4"/>
    <n v="6.1"/>
    <m/>
    <n v="5.7"/>
    <n v="6.2"/>
    <n v="5.6"/>
  </r>
  <r>
    <x v="76"/>
    <m/>
    <n v="12.7"/>
    <n v="12.7"/>
    <n v="12.6"/>
    <n v="12.6"/>
    <n v="12.5"/>
    <n v="12.5"/>
    <n v="12.8"/>
    <n v="12.7"/>
    <n v="12.8"/>
    <n v="12.9"/>
    <n v="12.8"/>
    <n v="12.8"/>
    <n v="13.5"/>
    <n v="13.4"/>
    <n v="13.5"/>
    <n v="13.2"/>
    <n v="14.3"/>
    <n v="13.8"/>
  </r>
  <r>
    <x v="77"/>
    <m/>
    <n v="17.5"/>
    <m/>
    <m/>
    <m/>
    <m/>
    <m/>
    <m/>
    <m/>
    <m/>
    <m/>
    <m/>
    <m/>
    <m/>
    <n v="0"/>
    <m/>
    <n v="0"/>
    <n v="0"/>
    <n v="0"/>
  </r>
  <r>
    <x v="78"/>
    <m/>
    <n v="12.1"/>
    <n v="12.2"/>
    <n v="12.2"/>
    <n v="12.1"/>
    <n v="12.1"/>
    <n v="12.1"/>
    <n v="13.3"/>
    <n v="13.3"/>
    <n v="13.3"/>
    <n v="13.9"/>
    <n v="13.9"/>
    <n v="13.7"/>
    <n v="13.7"/>
    <n v="13.6"/>
    <n v="13.6"/>
    <n v="13.6"/>
    <n v="13.4"/>
    <n v="13.4"/>
  </r>
  <r>
    <x v="79"/>
    <m/>
    <n v="4.9000000000000004"/>
    <n v="4.5999999999999996"/>
    <n v="4.7"/>
    <n v="4.7"/>
    <m/>
    <n v="4.7"/>
    <n v="4.7"/>
    <n v="4.7"/>
    <n v="4.7"/>
    <n v="4.7"/>
    <n v="4.7"/>
    <n v="4.7"/>
    <n v="4.7"/>
    <n v="4.7"/>
    <m/>
    <n v="4.7"/>
    <n v="4.7"/>
    <n v="4.7"/>
  </r>
  <r>
    <x v="80"/>
    <m/>
    <n v="4.8"/>
    <n v="4.8"/>
    <n v="4.7"/>
    <n v="4.5999999999999996"/>
    <n v="4.5999999999999996"/>
    <n v="4.5999999999999996"/>
    <n v="4.5999999999999996"/>
    <n v="4.5999999999999996"/>
    <n v="4.5999999999999996"/>
    <n v="7.4"/>
    <n v="6.9"/>
    <n v="6.6"/>
    <n v="6.5"/>
    <n v="6.6"/>
    <n v="6.6"/>
    <n v="6.5"/>
    <n v="6.5"/>
    <n v="6.4"/>
  </r>
  <r>
    <x v="81"/>
    <n v="9.6999999999999993"/>
    <m/>
    <n v="9.6999999999999993"/>
    <n v="9.6999999999999993"/>
    <m/>
    <m/>
    <m/>
    <m/>
    <m/>
    <n v="10"/>
    <n v="10"/>
    <n v="8.5"/>
    <n v="8.5"/>
    <n v="8.5"/>
    <n v="8.6"/>
    <m/>
    <n v="8.6"/>
    <n v="8.6"/>
    <n v="8.6"/>
  </r>
  <r>
    <x v="82"/>
    <n v="7"/>
    <m/>
    <n v="6.8"/>
    <m/>
    <m/>
    <n v="6.3"/>
    <m/>
    <m/>
    <m/>
    <n v="5.7"/>
    <n v="5.6"/>
    <n v="5.7"/>
    <n v="6"/>
    <n v="5.7"/>
    <n v="6"/>
    <n v="6"/>
    <m/>
    <n v="6"/>
    <n v="10.8"/>
  </r>
  <r>
    <x v="83"/>
    <m/>
    <n v="7.9"/>
    <n v="7.8"/>
    <n v="7.8"/>
    <n v="7.7"/>
    <n v="7.6"/>
    <n v="7.7"/>
    <n v="7.6"/>
    <n v="7.6"/>
    <n v="7.6"/>
    <n v="7.6"/>
    <n v="7.6"/>
    <n v="7.6"/>
    <n v="7.7"/>
    <n v="7.7"/>
    <n v="7.7"/>
    <n v="7.7"/>
    <n v="7.5"/>
    <n v="7.5"/>
  </r>
  <r>
    <x v="84"/>
    <m/>
    <m/>
    <m/>
    <m/>
    <m/>
    <m/>
    <m/>
    <n v="10.199999999999999"/>
    <n v="10.199999999999999"/>
    <n v="10.199999999999999"/>
    <m/>
    <m/>
    <m/>
    <n v="9.6999999999999993"/>
    <n v="12.1"/>
    <n v="12.1"/>
    <n v="12.1"/>
    <n v="12"/>
    <n v="12"/>
  </r>
  <r>
    <x v="85"/>
    <m/>
    <n v="0"/>
    <m/>
    <m/>
    <m/>
    <m/>
    <m/>
    <m/>
    <m/>
    <m/>
    <m/>
    <m/>
    <m/>
    <m/>
    <m/>
    <m/>
    <n v="5.2"/>
    <n v="4.5"/>
    <n v="4.5"/>
  </r>
  <r>
    <x v="8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m/>
    <n v="13.3"/>
    <n v="12.4"/>
    <n v="12.5"/>
    <n v="11.8"/>
    <n v="11.7"/>
    <n v="11.7"/>
    <n v="11.8"/>
    <n v="11.7"/>
    <n v="11.7"/>
    <n v="11.7"/>
    <n v="11.7"/>
    <n v="11.6"/>
    <n v="11.6"/>
    <n v="11.6"/>
    <m/>
    <n v="11.7"/>
    <n v="11.8"/>
    <n v="12"/>
  </r>
  <r>
    <x v="88"/>
    <m/>
    <n v="13.5"/>
    <m/>
    <n v="13"/>
    <n v="13"/>
    <n v="12.7"/>
    <n v="12.7"/>
    <n v="12.7"/>
    <n v="12.4"/>
    <n v="12.6"/>
    <n v="12.6"/>
    <n v="12.4"/>
    <n v="12.4"/>
    <m/>
    <n v="12.2"/>
    <m/>
    <n v="12.2"/>
    <n v="12.2"/>
    <n v="12.2"/>
  </r>
  <r>
    <x v="89"/>
    <m/>
    <n v="8.5"/>
    <n v="8.4"/>
    <n v="8.8000000000000007"/>
    <n v="8"/>
    <n v="6.5"/>
    <m/>
    <n v="6.5"/>
    <n v="6"/>
    <n v="6.1"/>
    <m/>
    <n v="5.8"/>
    <n v="5.6"/>
    <m/>
    <n v="5.6"/>
    <n v="5.7"/>
    <n v="5.6"/>
    <n v="5.6"/>
    <n v="5.6"/>
  </r>
  <r>
    <x v="90"/>
    <m/>
    <n v="20.2"/>
    <m/>
    <n v="20.399999999999999"/>
    <n v="20.399999999999999"/>
    <n v="20.399999999999999"/>
    <n v="20.5"/>
    <m/>
    <m/>
    <m/>
    <m/>
    <m/>
    <n v="13"/>
    <n v="13"/>
    <n v="12.9"/>
    <m/>
    <n v="11.4"/>
    <n v="11.7"/>
    <n v="11.6"/>
  </r>
  <r>
    <x v="91"/>
    <m/>
    <n v="12"/>
    <n v="11.9"/>
    <n v="11.9"/>
    <n v="11.9"/>
    <n v="11.9"/>
    <n v="11.9"/>
    <n v="11.9"/>
    <n v="11.9"/>
    <n v="11.9"/>
    <n v="12.2"/>
    <n v="12.2"/>
    <n v="12.2"/>
    <n v="12.1"/>
    <n v="12.1"/>
    <n v="12.1"/>
    <n v="12.1"/>
    <n v="12"/>
    <n v="12"/>
  </r>
  <r>
    <x v="92"/>
    <m/>
    <n v="10.7"/>
    <n v="11.9"/>
    <m/>
    <m/>
    <n v="9.6"/>
    <m/>
    <m/>
    <m/>
    <n v="12"/>
    <n v="12"/>
    <m/>
    <m/>
    <n v="12.1"/>
    <n v="12.1"/>
    <m/>
    <n v="12"/>
    <m/>
    <n v="12"/>
  </r>
  <r>
    <x v="93"/>
    <m/>
    <n v="3.5"/>
    <n v="3.5"/>
    <n v="2.9"/>
    <n v="1.4"/>
    <n v="1.4"/>
    <n v="1.4"/>
    <n v="1.1000000000000001"/>
    <n v="1"/>
    <n v="1.1000000000000001"/>
    <n v="1"/>
    <n v="1"/>
    <n v="0.7"/>
    <n v="0.8"/>
    <n v="0.8"/>
    <n v="0.8"/>
    <n v="0.8"/>
    <n v="0.8"/>
    <n v="0.8"/>
  </r>
  <r>
    <x v="94"/>
    <m/>
    <n v="14"/>
    <n v="12.6"/>
    <n v="12.6"/>
    <n v="11.5"/>
    <n v="9"/>
    <n v="8.3000000000000007"/>
    <n v="7.8"/>
    <n v="7.9"/>
    <n v="7.5"/>
    <n v="7.1"/>
    <n v="7"/>
    <n v="6.9"/>
    <n v="7"/>
    <n v="7.1"/>
    <n v="7.1"/>
    <n v="7.1"/>
    <n v="7.1"/>
    <n v="6.8"/>
  </r>
  <r>
    <x v="95"/>
    <m/>
    <n v="4.5"/>
    <m/>
    <m/>
    <m/>
    <m/>
    <m/>
    <m/>
    <m/>
    <m/>
    <m/>
    <m/>
    <m/>
    <m/>
    <n v="5.0999999999999996"/>
    <m/>
    <n v="5.0999999999999996"/>
    <n v="5.0999999999999996"/>
    <n v="5"/>
  </r>
  <r>
    <x v="96"/>
    <m/>
    <n v="5.2"/>
    <m/>
    <n v="4.7"/>
    <n v="4.5999999999999996"/>
    <n v="4.5999999999999996"/>
    <n v="4.5999999999999996"/>
    <n v="4.5999999999999996"/>
    <n v="4.5999999999999996"/>
    <n v="4.5999999999999996"/>
    <n v="5.5"/>
    <n v="5.4"/>
    <n v="5.3"/>
    <n v="5.3"/>
    <n v="5.3"/>
    <n v="5.3"/>
    <n v="5.3"/>
    <n v="5.3"/>
    <m/>
  </r>
  <r>
    <x v="97"/>
    <m/>
    <n v="4.5"/>
    <n v="5"/>
    <n v="5"/>
    <n v="5"/>
    <n v="5"/>
    <n v="5"/>
    <n v="5"/>
    <n v="5"/>
    <m/>
    <n v="5"/>
    <n v="5.2"/>
    <n v="5.2"/>
    <n v="5.2"/>
    <n v="5.2"/>
    <n v="5.2"/>
    <n v="5.2"/>
    <n v="5.2"/>
    <n v="5.2"/>
  </r>
  <r>
    <x v="98"/>
    <m/>
    <n v="4.9000000000000004"/>
    <n v="5"/>
    <n v="4.9000000000000004"/>
    <n v="4.9000000000000004"/>
    <n v="4.9000000000000004"/>
    <n v="4.9000000000000004"/>
    <n v="4.3"/>
    <n v="4.3"/>
    <n v="4.0999999999999996"/>
    <n v="4"/>
    <n v="3.9"/>
    <n v="3.8"/>
    <n v="3.7"/>
    <n v="3.7"/>
    <n v="3.7"/>
    <n v="3.7"/>
    <n v="3.7"/>
    <n v="3.7"/>
  </r>
  <r>
    <x v="99"/>
    <m/>
    <n v="24.5"/>
    <n v="23"/>
    <n v="21.4"/>
    <n v="18.100000000000001"/>
    <n v="18.100000000000001"/>
    <n v="14.3"/>
    <n v="12.9"/>
    <m/>
    <n v="11.2"/>
    <n v="11.5"/>
    <n v="11.5"/>
    <n v="11.4"/>
    <m/>
    <n v="11.4"/>
    <n v="12.3"/>
    <n v="14.2"/>
    <n v="14"/>
    <n v="14"/>
  </r>
  <r>
    <x v="100"/>
    <m/>
    <n v="12.1"/>
    <n v="10.3"/>
    <n v="10.1"/>
    <n v="10.3"/>
    <n v="10.1"/>
    <n v="10.1"/>
    <n v="10.1"/>
    <m/>
    <n v="10.1"/>
    <m/>
    <n v="10.1"/>
    <m/>
    <n v="10.3"/>
    <n v="10.3"/>
    <m/>
    <n v="10.3"/>
    <n v="10.3"/>
    <n v="10.3"/>
  </r>
  <r>
    <x v="101"/>
    <m/>
    <n v="5.6"/>
    <n v="5.6"/>
    <n v="5.6"/>
    <m/>
    <m/>
    <m/>
    <n v="5.6"/>
    <n v="5.6"/>
    <m/>
    <n v="5.6"/>
    <m/>
    <n v="6.5"/>
    <n v="6.5"/>
    <n v="6.5"/>
    <n v="6.5"/>
    <n v="6.5"/>
    <n v="7.6"/>
    <n v="7.6"/>
  </r>
  <r>
    <x v="102"/>
    <m/>
    <n v="8"/>
    <n v="7.8"/>
    <n v="7.8"/>
    <n v="7.7"/>
    <n v="7.7"/>
    <n v="7.7"/>
    <n v="7.6"/>
    <n v="7.6"/>
    <n v="7.6"/>
    <n v="7.6"/>
    <n v="7.6"/>
    <n v="7.6"/>
    <n v="7.7"/>
    <n v="7.7"/>
    <n v="7.7"/>
    <n v="7.7"/>
    <n v="7.6"/>
    <n v="7.5"/>
  </r>
  <r>
    <x v="103"/>
    <m/>
    <m/>
    <m/>
    <m/>
    <m/>
    <m/>
    <m/>
    <m/>
    <m/>
    <m/>
    <m/>
    <n v="11.9"/>
    <n v="12.2"/>
    <n v="12.3"/>
    <n v="12.7"/>
    <m/>
    <n v="12.9"/>
    <n v="12.9"/>
    <n v="12.6"/>
  </r>
  <r>
    <x v="104"/>
    <n v="13.9"/>
    <m/>
    <n v="12.6"/>
    <n v="12.7"/>
    <n v="12.4"/>
    <n v="12.3"/>
    <n v="12.3"/>
    <n v="12.3"/>
    <n v="12.2"/>
    <n v="12.3"/>
    <n v="12.3"/>
    <n v="12.1"/>
    <m/>
    <n v="12.1"/>
    <n v="12.2"/>
    <m/>
    <n v="12.7"/>
    <n v="12.6"/>
    <n v="12.7"/>
  </r>
  <r>
    <x v="105"/>
    <m/>
    <n v="3"/>
    <n v="3"/>
    <n v="2.2000000000000002"/>
    <n v="2.1"/>
    <m/>
    <n v="2"/>
    <n v="2"/>
    <n v="2"/>
    <n v="2"/>
    <n v="2"/>
    <n v="2"/>
    <n v="2"/>
    <n v="2"/>
    <n v="2"/>
    <n v="1.9"/>
    <n v="1.9"/>
    <n v="1.9"/>
    <n v="1.9"/>
  </r>
  <r>
    <x v="106"/>
    <n v="5.6"/>
    <m/>
    <n v="5.6"/>
    <m/>
    <n v="5.6"/>
    <n v="5.6"/>
    <n v="5.6"/>
    <n v="5.7"/>
    <n v="5.8"/>
    <n v="5.7"/>
    <n v="5.7"/>
    <n v="5.7"/>
    <n v="5.7"/>
    <n v="5.7"/>
    <n v="5.7"/>
    <n v="5.7"/>
    <n v="5.7"/>
    <n v="5.6"/>
    <n v="5.6"/>
  </r>
  <r>
    <x v="107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"/>
    <n v="12"/>
  </r>
  <r>
    <x v="108"/>
    <m/>
    <n v="12"/>
    <m/>
    <n v="12"/>
    <n v="11.2"/>
    <n v="11.7"/>
    <n v="11.7"/>
    <m/>
    <n v="11.7"/>
    <n v="11.9"/>
    <n v="12.1"/>
    <n v="12.1"/>
    <m/>
    <m/>
    <n v="12.1"/>
    <n v="12.1"/>
    <n v="12.1"/>
    <n v="12"/>
    <n v="12"/>
  </r>
  <r>
    <x v="109"/>
    <m/>
    <n v="8.3000000000000007"/>
    <n v="7.8"/>
    <n v="7.7"/>
    <n v="7.3"/>
    <n v="7"/>
    <n v="7"/>
    <n v="6.9"/>
    <n v="6.8"/>
    <n v="6.9"/>
    <n v="6.8"/>
    <n v="6.8"/>
    <n v="6.7"/>
    <n v="6.7"/>
    <n v="6.7"/>
    <n v="6.7"/>
    <n v="6.7"/>
    <n v="6.6"/>
    <n v="6.5"/>
  </r>
  <r>
    <x v="110"/>
    <m/>
    <n v="8.6"/>
    <n v="8.1"/>
    <n v="8.1999999999999993"/>
    <n v="6.1"/>
    <n v="7"/>
    <n v="7.8"/>
    <n v="8"/>
    <n v="7.7"/>
    <n v="7.7"/>
    <n v="6.6"/>
    <n v="6.1"/>
    <n v="6.2"/>
    <n v="6.6"/>
    <n v="6"/>
    <n v="5.9"/>
    <n v="5.9"/>
    <n v="5.2"/>
    <n v="4.5999999999999996"/>
  </r>
  <r>
    <x v="111"/>
    <m/>
    <n v="5.3"/>
    <n v="5.5"/>
    <n v="5.7"/>
    <n v="5.7"/>
    <m/>
    <m/>
    <n v="4.7"/>
    <n v="4.7"/>
    <n v="4.7"/>
    <n v="5.5"/>
    <n v="5.5"/>
    <n v="5.6"/>
    <n v="5.6"/>
    <n v="5.6"/>
    <m/>
    <n v="5.6"/>
    <n v="5.6"/>
    <n v="5.6"/>
  </r>
  <r>
    <x v="112"/>
    <m/>
    <n v="14.3"/>
    <n v="14.1"/>
    <n v="13.5"/>
    <n v="13.9"/>
    <n v="13.9"/>
    <n v="13.9"/>
    <n v="13.6"/>
    <n v="13.5"/>
    <n v="13.4"/>
    <n v="12.3"/>
    <n v="12.1"/>
    <m/>
    <n v="12.1"/>
    <n v="12.1"/>
    <m/>
    <n v="11.2"/>
    <n v="10.3"/>
    <n v="10.3"/>
  </r>
  <r>
    <x v="113"/>
    <n v="2.9"/>
    <m/>
    <m/>
    <m/>
    <n v="4.0999999999999996"/>
    <n v="3.9"/>
    <n v="4.0999999999999996"/>
    <n v="4.0999999999999996"/>
    <m/>
    <m/>
    <n v="3.2"/>
    <n v="3.6"/>
    <n v="3.6"/>
    <n v="3.8"/>
    <n v="3.8"/>
    <m/>
    <n v="4"/>
    <n v="4"/>
    <m/>
  </r>
  <r>
    <x v="114"/>
    <m/>
    <n v="7.3"/>
    <n v="7.2"/>
    <n v="7.2"/>
    <n v="7.2"/>
    <m/>
    <n v="6.9"/>
    <n v="7"/>
    <n v="6.9"/>
    <n v="6.8"/>
    <n v="6.8"/>
    <m/>
    <n v="6.8"/>
    <n v="5.0999999999999996"/>
    <n v="5.0999999999999996"/>
    <n v="5.0999999999999996"/>
    <n v="5.0999999999999996"/>
    <n v="5.0999999999999996"/>
    <n v="5.0999999999999996"/>
  </r>
  <r>
    <x v="115"/>
    <m/>
    <n v="5.5"/>
    <n v="5.3"/>
    <n v="5"/>
    <m/>
    <n v="5.0999999999999996"/>
    <m/>
    <m/>
    <n v="4.7"/>
    <n v="4.7"/>
    <m/>
    <m/>
    <m/>
    <n v="4.3"/>
    <n v="4"/>
    <m/>
    <n v="4.2"/>
    <n v="4.0999999999999996"/>
    <n v="4.2"/>
  </r>
  <r>
    <x v="116"/>
    <m/>
    <n v="9.9"/>
    <n v="10.4"/>
    <n v="11.6"/>
    <n v="10.3"/>
    <n v="10.199999999999999"/>
    <n v="10.199999999999999"/>
    <n v="10.1"/>
    <n v="10.1"/>
    <n v="10.1"/>
    <n v="9.8000000000000007"/>
    <n v="9.8000000000000007"/>
    <n v="9.8000000000000007"/>
    <n v="9.8000000000000007"/>
    <n v="9.8000000000000007"/>
    <n v="9.6"/>
    <n v="9.6"/>
    <m/>
    <n v="8.6"/>
  </r>
  <r>
    <x v="117"/>
    <m/>
    <n v="10.199999999999999"/>
    <n v="10.199999999999999"/>
    <n v="6.1"/>
    <n v="5.5"/>
    <n v="5.4"/>
    <n v="3.7"/>
    <m/>
    <n v="3.4"/>
    <n v="3.4"/>
    <n v="2.4"/>
    <m/>
    <n v="2.4"/>
    <n v="2.4"/>
    <n v="2.4"/>
    <m/>
    <n v="2.4"/>
    <n v="2.2999999999999998"/>
    <n v="2.2999999999999998"/>
  </r>
  <r>
    <x v="118"/>
    <m/>
    <n v="6.3"/>
    <n v="6.3"/>
    <n v="6.3"/>
    <n v="6.3"/>
    <n v="6.3"/>
    <n v="6.1"/>
    <n v="6.2"/>
    <n v="6.3"/>
    <n v="6.3"/>
    <n v="6.3"/>
    <n v="6.3"/>
    <n v="6.3"/>
    <n v="6.2"/>
    <n v="6.1"/>
    <n v="6.1"/>
    <n v="6.1"/>
    <n v="6.1"/>
    <n v="6"/>
  </r>
  <r>
    <x v="119"/>
    <m/>
    <n v="5.2"/>
    <n v="4.9000000000000004"/>
    <n v="5.0999999999999996"/>
    <n v="5"/>
    <m/>
    <n v="5.0999999999999996"/>
    <n v="4.7"/>
    <n v="4.7"/>
    <n v="4.7"/>
    <n v="4.7"/>
    <n v="4.7"/>
    <n v="4.8"/>
    <n v="4.8"/>
    <n v="4.8"/>
    <n v="5.0999999999999996"/>
    <n v="5.0999999999999996"/>
    <n v="4.7"/>
    <n v="4.7"/>
  </r>
  <r>
    <x v="120"/>
    <n v="15.9"/>
    <m/>
    <m/>
    <m/>
    <m/>
    <m/>
    <m/>
    <m/>
    <m/>
    <m/>
    <m/>
    <m/>
    <m/>
    <m/>
    <m/>
    <m/>
    <m/>
    <m/>
    <m/>
  </r>
  <r>
    <x v="121"/>
    <n v="11.4"/>
    <m/>
    <n v="11"/>
    <n v="10.8"/>
    <n v="10.5"/>
    <n v="9.5"/>
    <n v="9.4"/>
    <n v="9.9"/>
    <n v="9.6999999999999993"/>
    <n v="8.4"/>
    <n v="7.8"/>
    <n v="7.2"/>
    <n v="6.7"/>
    <n v="6.8"/>
    <n v="6.7"/>
    <n v="6.6"/>
    <n v="6.6"/>
    <n v="6.6"/>
    <n v="6.6"/>
  </r>
  <r>
    <x v="122"/>
    <m/>
    <n v="18.7"/>
    <m/>
    <n v="18.600000000000001"/>
    <n v="18.7"/>
    <n v="12.5"/>
    <n v="12.5"/>
    <n v="12.8"/>
    <n v="12.8"/>
    <n v="12.7"/>
    <n v="12.8"/>
    <n v="12.7"/>
    <n v="12.7"/>
    <n v="11.3"/>
    <n v="11.3"/>
    <n v="12.5"/>
    <n v="12.4"/>
    <n v="13.2"/>
    <n v="13.3"/>
  </r>
  <r>
    <x v="123"/>
    <m/>
    <n v="9.1999999999999993"/>
    <n v="9.1999999999999993"/>
    <n v="9.1999999999999993"/>
    <n v="9.1999999999999993"/>
    <n v="9.1999999999999993"/>
    <n v="10.3"/>
    <m/>
    <n v="10.4"/>
    <n v="9.1"/>
    <n v="9.1"/>
    <n v="9.1999999999999993"/>
    <n v="9.1999999999999993"/>
    <n v="9.1"/>
    <n v="9.1"/>
    <n v="9.1999999999999993"/>
    <m/>
    <m/>
    <m/>
  </r>
  <r>
    <x v="124"/>
    <m/>
    <n v="8.9"/>
    <n v="8.9"/>
    <m/>
    <m/>
    <m/>
    <n v="10.199999999999999"/>
    <m/>
    <n v="10.3"/>
    <n v="8.4"/>
    <n v="9.1"/>
    <n v="9.1"/>
    <m/>
    <m/>
    <n v="9.1"/>
    <n v="9.1999999999999993"/>
    <n v="9.1999999999999993"/>
    <m/>
    <m/>
  </r>
  <r>
    <x v="125"/>
    <m/>
    <n v="9.8000000000000007"/>
    <n v="9.9"/>
    <m/>
    <m/>
    <m/>
    <n v="10.1"/>
    <m/>
    <n v="10.199999999999999"/>
    <m/>
    <n v="10"/>
    <n v="10"/>
    <n v="10"/>
    <n v="10"/>
    <n v="10"/>
    <n v="10"/>
    <n v="10"/>
    <m/>
    <n v="10.8"/>
  </r>
  <r>
    <x v="126"/>
    <m/>
    <m/>
    <m/>
    <m/>
    <m/>
    <m/>
    <m/>
    <n v="11.4"/>
    <n v="11.4"/>
    <n v="11.4"/>
    <n v="11.4"/>
    <n v="11.4"/>
    <n v="11.4"/>
    <n v="11.4"/>
    <m/>
    <m/>
    <n v="11.3"/>
    <m/>
    <m/>
  </r>
  <r>
    <x v="127"/>
    <m/>
    <m/>
    <m/>
    <m/>
    <m/>
    <m/>
    <m/>
    <m/>
    <n v="10.199999999999999"/>
    <n v="10.199999999999999"/>
    <n v="10"/>
    <n v="10"/>
    <m/>
    <n v="9.9"/>
    <n v="9.9"/>
    <m/>
    <m/>
    <m/>
    <m/>
  </r>
  <r>
    <x v="128"/>
    <m/>
    <n v="5.2"/>
    <n v="5"/>
    <n v="5.2"/>
    <n v="4.8"/>
    <m/>
    <n v="4.9000000000000004"/>
    <n v="5.0999999999999996"/>
    <n v="4.8"/>
    <n v="5.0999999999999996"/>
    <n v="5.0999999999999996"/>
    <m/>
    <n v="5.8"/>
    <n v="5.3"/>
    <m/>
    <n v="5.6"/>
    <n v="6.3"/>
    <n v="6.3"/>
    <n v="6.2"/>
  </r>
  <r>
    <x v="129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"/>
    <n v="12"/>
  </r>
  <r>
    <x v="130"/>
    <m/>
    <m/>
    <n v="7.4"/>
    <n v="7.4"/>
    <n v="7.3"/>
    <n v="7.3"/>
    <n v="7.3"/>
    <m/>
    <n v="7.4"/>
    <n v="7.5"/>
    <n v="7.4"/>
    <n v="7.4"/>
    <n v="7.4"/>
    <n v="7.4"/>
    <n v="7.4"/>
    <m/>
    <n v="7.4"/>
    <n v="7.3"/>
    <n v="7.3"/>
  </r>
  <r>
    <x v="131"/>
    <m/>
    <m/>
    <n v="8.1999999999999993"/>
    <m/>
    <m/>
    <n v="7.6"/>
    <m/>
    <n v="6.4"/>
    <m/>
    <m/>
    <n v="2.9"/>
    <n v="2.8"/>
    <n v="2.7"/>
    <n v="3.2"/>
    <n v="2.5"/>
    <n v="2.5"/>
    <n v="2.4"/>
    <n v="2.5"/>
    <n v="2.6"/>
  </r>
  <r>
    <x v="132"/>
    <m/>
    <n v="13.6"/>
    <m/>
    <m/>
    <m/>
    <m/>
    <m/>
    <n v="11.9"/>
    <m/>
    <m/>
    <m/>
    <m/>
    <m/>
    <m/>
    <n v="12.1"/>
    <n v="12.1"/>
    <n v="12.1"/>
    <n v="12"/>
    <n v="12"/>
  </r>
  <r>
    <x v="133"/>
    <m/>
    <n v="0"/>
    <n v="0"/>
    <n v="0"/>
    <n v="0"/>
    <n v="0"/>
    <n v="0"/>
    <n v="0.2"/>
    <n v="0.2"/>
    <n v="0.2"/>
    <n v="0.1"/>
    <n v="0"/>
    <n v="0"/>
    <n v="0"/>
    <n v="0"/>
    <n v="0"/>
    <n v="0"/>
    <n v="0"/>
    <n v="0"/>
  </r>
  <r>
    <x v="134"/>
    <m/>
    <n v="14.5"/>
    <n v="10.3"/>
    <n v="9.9"/>
    <m/>
    <n v="9.6999999999999993"/>
    <n v="10.1"/>
    <n v="10"/>
    <n v="9.5"/>
    <m/>
    <n v="9.6"/>
    <n v="9.6"/>
    <n v="9.6"/>
    <n v="9.8000000000000007"/>
    <n v="9.6"/>
    <m/>
    <n v="9.9"/>
    <n v="9.6"/>
    <m/>
  </r>
  <r>
    <x v="135"/>
    <m/>
    <m/>
    <m/>
    <m/>
    <m/>
    <m/>
    <m/>
    <m/>
    <m/>
    <m/>
    <m/>
    <m/>
    <m/>
    <m/>
    <m/>
    <m/>
    <m/>
    <n v="15.6"/>
    <n v="15.6"/>
  </r>
  <r>
    <x v="136"/>
    <m/>
    <n v="8"/>
    <n v="7.8"/>
    <n v="7.8"/>
    <n v="7.7"/>
    <n v="7.7"/>
    <n v="7.7"/>
    <n v="7.6"/>
    <n v="7.6"/>
    <n v="7.6"/>
    <n v="7.6"/>
    <n v="7.7"/>
    <n v="7.6"/>
    <n v="7.7"/>
    <n v="7.7"/>
    <n v="7.7"/>
    <n v="7.8"/>
    <n v="7.6"/>
    <n v="7.6"/>
  </r>
  <r>
    <x v="137"/>
    <m/>
    <m/>
    <m/>
    <m/>
    <m/>
    <m/>
    <m/>
    <m/>
    <m/>
    <m/>
    <m/>
    <m/>
    <m/>
    <m/>
    <m/>
    <m/>
    <m/>
    <n v="10.199999999999999"/>
    <n v="10.199999999999999"/>
  </r>
  <r>
    <x v="138"/>
    <m/>
    <n v="11.2"/>
    <n v="11"/>
    <n v="11.2"/>
    <n v="11.2"/>
    <n v="10.6"/>
    <n v="10.199999999999999"/>
    <n v="9.9"/>
    <m/>
    <n v="9.5"/>
    <n v="9.3000000000000007"/>
    <m/>
    <n v="9.3000000000000007"/>
    <n v="9.3000000000000007"/>
    <n v="9.3000000000000007"/>
    <m/>
    <n v="6"/>
    <n v="5.9"/>
    <n v="8.4"/>
  </r>
  <r>
    <x v="139"/>
    <m/>
    <n v="20.100000000000001"/>
    <m/>
    <n v="20.399999999999999"/>
    <n v="20.399999999999999"/>
    <n v="19.899999999999999"/>
    <n v="19.899999999999999"/>
    <n v="21.2"/>
    <n v="21.2"/>
    <m/>
    <m/>
    <m/>
    <n v="21.5"/>
    <m/>
    <m/>
    <m/>
    <n v="21.6"/>
    <m/>
    <m/>
  </r>
  <r>
    <x v="140"/>
    <m/>
    <m/>
    <m/>
    <m/>
    <m/>
    <n v="10.4"/>
    <n v="10.3"/>
    <m/>
    <n v="10.4"/>
    <m/>
    <m/>
    <n v="10.4"/>
    <m/>
    <n v="10.4"/>
    <n v="10.4"/>
    <m/>
    <n v="10.4"/>
    <m/>
    <n v="10.4"/>
  </r>
  <r>
    <x v="141"/>
    <m/>
    <n v="7.6"/>
    <n v="7.5"/>
    <n v="7.7"/>
    <n v="6.5"/>
    <n v="5.2"/>
    <n v="7.8"/>
    <n v="6.5"/>
    <n v="6.8"/>
    <n v="6.7"/>
    <n v="6.7"/>
    <n v="6.3"/>
    <n v="6.4"/>
    <n v="6.6"/>
    <n v="6"/>
    <n v="5.3"/>
    <n v="5.6"/>
    <n v="5.6"/>
    <n v="5.2"/>
  </r>
  <r>
    <x v="142"/>
    <m/>
    <m/>
    <m/>
    <m/>
    <n v="14.2"/>
    <m/>
    <m/>
    <m/>
    <n v="16.5"/>
    <m/>
    <m/>
    <m/>
    <m/>
    <m/>
    <m/>
    <n v="10.8"/>
    <m/>
    <m/>
    <m/>
  </r>
  <r>
    <x v="143"/>
    <m/>
    <n v="6.4"/>
    <n v="6.3"/>
    <n v="6.1"/>
    <n v="6.1"/>
    <n v="6.1"/>
    <n v="6.1"/>
    <n v="6.1"/>
    <n v="6"/>
    <n v="6.5"/>
    <n v="6.4"/>
    <n v="6.4"/>
    <n v="6.4"/>
    <n v="6.5"/>
    <n v="6.6"/>
    <n v="6.5"/>
    <n v="6.6"/>
    <n v="6.5"/>
    <n v="6.5"/>
  </r>
  <r>
    <x v="144"/>
    <m/>
    <n v="7.9"/>
    <m/>
    <m/>
    <n v="8"/>
    <n v="7.8"/>
    <n v="7.8"/>
    <n v="7.8"/>
    <n v="7.8"/>
    <n v="7.7"/>
    <n v="7.6"/>
    <n v="7.6"/>
    <n v="7.7"/>
    <m/>
    <m/>
    <m/>
    <n v="8"/>
    <m/>
    <m/>
  </r>
  <r>
    <x v="145"/>
    <m/>
    <n v="12.7"/>
    <n v="12.7"/>
    <n v="12.6"/>
    <n v="12.6"/>
    <n v="12.5"/>
    <n v="12.5"/>
    <n v="12.9"/>
    <n v="12.8"/>
    <n v="12.8"/>
    <n v="12.9"/>
    <n v="12.9"/>
    <n v="12.9"/>
    <n v="13"/>
    <n v="13.1"/>
    <n v="13.1"/>
    <n v="13.1"/>
    <n v="13.9"/>
    <n v="14.1"/>
  </r>
  <r>
    <x v="146"/>
    <m/>
    <n v="10"/>
    <n v="10.5"/>
    <m/>
    <n v="9.9"/>
    <n v="9.9"/>
    <n v="9.8000000000000007"/>
    <m/>
    <n v="11.4"/>
    <n v="11.6"/>
    <n v="11"/>
    <m/>
    <n v="9.6"/>
    <m/>
    <n v="10.199999999999999"/>
    <n v="10.199999999999999"/>
    <n v="11.5"/>
    <n v="9.6999999999999993"/>
    <n v="9.8000000000000007"/>
  </r>
  <r>
    <x v="147"/>
    <m/>
    <m/>
    <m/>
    <m/>
    <m/>
    <m/>
    <n v="2.5"/>
    <n v="2.5"/>
    <n v="2.5"/>
    <n v="2.5"/>
    <n v="2.5"/>
    <n v="2.5"/>
    <m/>
    <m/>
    <m/>
    <m/>
    <n v="2.5"/>
    <n v="2.5"/>
    <n v="2.5"/>
  </r>
  <r>
    <x v="148"/>
    <m/>
    <n v="12"/>
    <n v="11.9"/>
    <n v="11.9"/>
    <n v="11.9"/>
    <n v="11.9"/>
    <n v="11.9"/>
    <n v="11.9"/>
    <n v="11.9"/>
    <n v="11.9"/>
    <n v="12.2"/>
    <n v="12.2"/>
    <n v="12.2"/>
    <n v="12.2"/>
    <n v="12.1"/>
    <n v="12.1"/>
    <n v="12.1"/>
    <n v="12"/>
    <n v="12"/>
  </r>
  <r>
    <x v="149"/>
    <m/>
    <n v="15.6"/>
    <m/>
    <m/>
    <n v="11.7"/>
    <n v="11.7"/>
    <n v="11.7"/>
    <n v="12"/>
    <n v="11.7"/>
    <n v="11.7"/>
    <n v="11.7"/>
    <n v="11"/>
    <n v="11.2"/>
    <m/>
    <m/>
    <m/>
    <n v="10.7"/>
    <n v="10.7"/>
    <n v="10.7"/>
  </r>
  <r>
    <x v="150"/>
    <m/>
    <n v="7.8"/>
    <n v="7.5"/>
    <n v="7.5"/>
    <m/>
    <m/>
    <n v="7.5"/>
    <m/>
    <n v="10.7"/>
    <m/>
    <m/>
    <m/>
    <m/>
    <n v="8.1"/>
    <m/>
    <m/>
    <n v="8.3000000000000007"/>
    <n v="8.3000000000000007"/>
    <n v="8.1999999999999993"/>
  </r>
  <r>
    <x v="151"/>
    <m/>
    <n v="26.8"/>
    <m/>
    <n v="21.5"/>
    <m/>
    <n v="16.5"/>
    <n v="16"/>
    <n v="15.5"/>
    <n v="14.1"/>
    <m/>
    <n v="15.5"/>
    <n v="11.6"/>
    <m/>
    <m/>
    <m/>
    <m/>
    <m/>
    <n v="19.5"/>
    <n v="19.5"/>
  </r>
  <r>
    <x v="152"/>
    <m/>
    <n v="9.6"/>
    <n v="10"/>
    <n v="9.8000000000000007"/>
    <m/>
    <n v="9.9"/>
    <n v="9.6"/>
    <m/>
    <n v="10.8"/>
    <n v="10.7"/>
    <n v="10.8"/>
    <n v="10.9"/>
    <n v="10.9"/>
    <n v="10.7"/>
    <n v="11.1"/>
    <m/>
    <n v="10.7"/>
    <n v="16.8"/>
    <n v="16.2"/>
  </r>
  <r>
    <x v="153"/>
    <m/>
    <m/>
    <m/>
    <m/>
    <m/>
    <n v="7.7"/>
    <m/>
    <m/>
    <m/>
    <m/>
    <m/>
    <m/>
    <m/>
    <m/>
    <m/>
    <m/>
    <m/>
    <m/>
    <m/>
  </r>
  <r>
    <x v="154"/>
    <m/>
    <n v="12.7"/>
    <n v="12.6"/>
    <n v="12.6"/>
    <n v="12.6"/>
    <n v="12.5"/>
    <n v="12.5"/>
    <n v="12.8"/>
    <n v="12.8"/>
    <n v="12.7"/>
    <n v="12.8"/>
    <n v="12.8"/>
    <n v="12.7"/>
    <n v="13"/>
    <n v="13.5"/>
    <n v="13.7"/>
    <n v="17.600000000000001"/>
    <n v="18.399999999999999"/>
    <n v="15.6"/>
  </r>
  <r>
    <x v="155"/>
    <m/>
    <n v="6.9"/>
    <m/>
    <n v="5.5"/>
    <n v="4.5"/>
    <n v="4.5"/>
    <n v="4.5"/>
    <n v="4.5"/>
    <n v="4.5"/>
    <n v="4.5"/>
    <n v="4.5"/>
    <n v="4.5"/>
    <n v="4.5"/>
    <n v="4.5"/>
    <n v="4.5"/>
    <n v="4.5"/>
    <n v="4.4000000000000004"/>
    <n v="4.4000000000000004"/>
    <n v="4.3"/>
  </r>
  <r>
    <x v="156"/>
    <m/>
    <n v="5"/>
    <n v="5"/>
    <n v="5"/>
    <n v="4.9000000000000004"/>
    <m/>
    <n v="4.9000000000000004"/>
    <n v="4.7"/>
    <n v="4.7"/>
    <n v="4.7"/>
    <n v="4.7"/>
    <n v="4.7"/>
    <n v="4.8"/>
    <n v="4.8"/>
    <n v="4.8"/>
    <n v="4.7"/>
    <n v="4.8"/>
    <n v="4.7"/>
    <n v="4.7"/>
  </r>
  <r>
    <x v="157"/>
    <m/>
    <m/>
    <m/>
    <m/>
    <m/>
    <m/>
    <m/>
    <m/>
    <m/>
    <m/>
    <m/>
    <m/>
    <m/>
    <m/>
    <m/>
    <m/>
    <n v="3.9"/>
    <n v="3.8"/>
    <n v="3.8"/>
  </r>
  <r>
    <x v="158"/>
    <m/>
    <n v="3.5"/>
    <n v="3.5"/>
    <n v="3.5"/>
    <n v="3.5"/>
    <n v="3.5"/>
    <n v="3.5"/>
    <n v="3.4"/>
    <n v="3.4"/>
    <n v="3.5"/>
    <n v="3.5"/>
    <n v="3.5"/>
    <n v="3.4"/>
    <n v="3.5"/>
    <n v="3.3"/>
    <n v="3.4"/>
    <n v="3.4"/>
    <n v="3.3"/>
    <n v="3.3"/>
  </r>
  <r>
    <x v="159"/>
    <m/>
    <n v="10.6"/>
    <n v="10.6"/>
    <n v="10.5"/>
    <n v="10.5"/>
    <n v="10.6"/>
    <n v="10.5"/>
    <n v="10.5"/>
    <n v="10.5"/>
    <n v="10.5"/>
    <n v="10.5"/>
    <n v="10.4"/>
    <n v="10.3"/>
    <n v="10.3"/>
    <n v="10.3"/>
    <n v="10.3"/>
    <n v="10.3"/>
    <n v="10.1"/>
    <n v="10.1"/>
  </r>
  <r>
    <x v="160"/>
    <m/>
    <n v="15.6"/>
    <n v="15.6"/>
    <n v="15.5"/>
    <n v="15.4"/>
    <m/>
    <m/>
    <n v="15.4"/>
    <m/>
    <n v="14.8"/>
    <n v="14.8"/>
    <m/>
    <m/>
    <m/>
    <m/>
    <n v="7.6"/>
    <n v="7.3"/>
    <m/>
    <m/>
  </r>
  <r>
    <x v="161"/>
    <m/>
    <n v="16.3"/>
    <n v="16.600000000000001"/>
    <n v="16.100000000000001"/>
    <n v="15.5"/>
    <m/>
    <m/>
    <n v="9.1"/>
    <m/>
    <m/>
    <n v="7.5"/>
    <n v="7.5"/>
    <n v="9.1999999999999993"/>
    <n v="9.1999999999999993"/>
    <m/>
    <n v="9.1999999999999993"/>
    <n v="9.1999999999999993"/>
    <n v="9.1999999999999993"/>
    <n v="9"/>
  </r>
  <r>
    <x v="162"/>
    <m/>
    <n v="13"/>
    <n v="13.2"/>
    <n v="13.3"/>
    <n v="12.5"/>
    <n v="12.5"/>
    <n v="12.5"/>
    <n v="13.3"/>
    <n v="13.3"/>
    <n v="12.9"/>
    <n v="12.9"/>
    <n v="12.7"/>
    <n v="13.8"/>
    <n v="13.8"/>
    <n v="13.8"/>
    <m/>
    <n v="13.8"/>
    <n v="13.8"/>
    <n v="13.8"/>
  </r>
  <r>
    <x v="163"/>
    <m/>
    <n v="16.8"/>
    <n v="16.8"/>
    <m/>
    <n v="10.9"/>
    <n v="9.8000000000000007"/>
    <m/>
    <n v="9.5"/>
    <n v="9.5"/>
    <n v="9.5"/>
    <n v="9.5"/>
    <n v="9.6"/>
    <n v="9.6"/>
    <n v="9.5"/>
    <n v="9.6"/>
    <n v="9.5"/>
    <n v="9.6"/>
    <n v="9.6"/>
    <n v="9.4"/>
  </r>
  <r>
    <x v="164"/>
    <m/>
    <n v="7.1"/>
    <m/>
    <m/>
    <n v="7.1"/>
    <m/>
    <n v="7.1"/>
    <n v="7.5"/>
    <n v="7.5"/>
    <m/>
    <n v="7.5"/>
    <n v="7.5"/>
    <n v="7.6"/>
    <m/>
    <m/>
    <m/>
    <m/>
    <m/>
    <m/>
  </r>
  <r>
    <x v="165"/>
    <n v="13.9"/>
    <m/>
    <n v="13.9"/>
    <n v="13.8"/>
    <n v="13.6"/>
    <n v="13.4"/>
    <n v="13.4"/>
    <n v="13.7"/>
    <n v="13.2"/>
    <n v="13.5"/>
    <n v="13.6"/>
    <n v="13.9"/>
    <m/>
    <n v="13.5"/>
    <m/>
    <m/>
    <n v="14.6"/>
    <n v="14.6"/>
    <n v="14.6"/>
  </r>
  <r>
    <x v="166"/>
    <m/>
    <m/>
    <n v="20"/>
    <n v="25.6"/>
    <m/>
    <n v="19.5"/>
    <n v="15.9"/>
    <n v="16.8"/>
    <m/>
    <n v="16.3"/>
    <n v="16.8"/>
    <n v="17.399999999999999"/>
    <n v="17.5"/>
    <m/>
    <m/>
    <n v="18.100000000000001"/>
    <n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2A3EA-EE6D-421D-8784-722BCA485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71" firstHeaderRow="0" firstDataRow="1" firstDataCol="1"/>
  <pivotFields count="20">
    <pivotField axis="axisRow" compact="0" outline="0" showAll="0">
      <items count="1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14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5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1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8" fld="14" baseField="0" baseItem="0"/>
    <dataField name="Sum of 2019" fld="15" baseField="0" baseItem="0"/>
    <dataField name="Sum of 2020" fld="16" baseField="0" baseItem="0"/>
    <dataField name="Sum of 2021" fld="17" baseField="0" baseItem="0"/>
    <dataField name="Sum of 2022" fld="18" baseField="0" baseItem="0"/>
    <dataField name="Sum of 2023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2F17-7AA8-45F5-A129-1960B84019ED}">
  <sheetPr filterMode="1"/>
  <dimension ref="A3:R171"/>
  <sheetViews>
    <sheetView tabSelected="1" zoomScaleNormal="100" workbookViewId="0">
      <selection activeCell="L13" sqref="L13:R16"/>
    </sheetView>
  </sheetViews>
  <sheetFormatPr defaultRowHeight="15" x14ac:dyDescent="0.25"/>
  <cols>
    <col min="1" max="1" width="31.5703125" bestFit="1" customWidth="1"/>
    <col min="2" max="7" width="11.5703125" bestFit="1" customWidth="1"/>
  </cols>
  <sheetData>
    <row r="3" spans="1:18" x14ac:dyDescent="0.25">
      <c r="A3" s="12" t="s">
        <v>2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196</v>
      </c>
      <c r="K3" t="s">
        <v>2</v>
      </c>
      <c r="L3" t="s">
        <v>189</v>
      </c>
      <c r="M3" t="s">
        <v>190</v>
      </c>
      <c r="N3" t="s">
        <v>191</v>
      </c>
      <c r="O3" t="s">
        <v>192</v>
      </c>
      <c r="P3" t="s">
        <v>193</v>
      </c>
      <c r="Q3" t="s">
        <v>194</v>
      </c>
      <c r="R3" t="s">
        <v>196</v>
      </c>
    </row>
    <row r="4" spans="1:18" hidden="1" x14ac:dyDescent="0.25">
      <c r="A4" t="s">
        <v>22</v>
      </c>
      <c r="B4" s="11">
        <v>6.5</v>
      </c>
      <c r="C4" s="11"/>
      <c r="D4" s="11"/>
      <c r="E4" s="11"/>
      <c r="F4" s="11"/>
      <c r="G4" s="11"/>
      <c r="H4">
        <f>SUM(B4:G4)</f>
        <v>6.5</v>
      </c>
      <c r="K4" t="s">
        <v>38</v>
      </c>
      <c r="L4" s="11"/>
      <c r="M4" s="11"/>
      <c r="N4" s="11"/>
      <c r="O4" s="11"/>
      <c r="P4" s="11"/>
      <c r="Q4" s="11"/>
      <c r="R4" t="e">
        <f>AVERAGE(L4:Q4)</f>
        <v>#DIV/0!</v>
      </c>
    </row>
    <row r="5" spans="1:18" hidden="1" x14ac:dyDescent="0.25">
      <c r="A5" t="s">
        <v>23</v>
      </c>
      <c r="B5" s="11">
        <v>3.6</v>
      </c>
      <c r="C5" s="11">
        <v>3.6</v>
      </c>
      <c r="D5" s="11">
        <v>3.6</v>
      </c>
      <c r="E5" s="11">
        <v>3.6</v>
      </c>
      <c r="F5" s="11">
        <v>3.6</v>
      </c>
      <c r="G5" s="11">
        <v>3.5</v>
      </c>
      <c r="H5">
        <f t="shared" ref="H5:H68" si="0">SUM(B5:G5)</f>
        <v>21.5</v>
      </c>
      <c r="K5" t="s">
        <v>45</v>
      </c>
      <c r="L5" s="11"/>
      <c r="M5" s="11"/>
      <c r="N5" s="11"/>
      <c r="O5" s="11"/>
      <c r="P5" s="11"/>
      <c r="Q5" s="11"/>
      <c r="R5" t="e">
        <f>AVERAGE(L5:Q5)</f>
        <v>#DIV/0!</v>
      </c>
    </row>
    <row r="6" spans="1:18" hidden="1" x14ac:dyDescent="0.25">
      <c r="A6" t="s">
        <v>24</v>
      </c>
      <c r="B6" s="11">
        <v>18.899999999999999</v>
      </c>
      <c r="C6" s="11">
        <v>18.899999999999999</v>
      </c>
      <c r="D6" s="11"/>
      <c r="E6" s="11">
        <v>19</v>
      </c>
      <c r="F6" s="11">
        <v>18.899999999999999</v>
      </c>
      <c r="G6" s="11"/>
      <c r="H6">
        <f t="shared" si="0"/>
        <v>75.699999999999989</v>
      </c>
      <c r="K6" t="s">
        <v>62</v>
      </c>
      <c r="L6" s="11"/>
      <c r="M6" s="11"/>
      <c r="N6" s="11"/>
      <c r="O6" s="11"/>
      <c r="P6" s="11"/>
      <c r="Q6" s="11"/>
      <c r="R6" t="e">
        <f>AVERAGE(L6:Q6)</f>
        <v>#DIV/0!</v>
      </c>
    </row>
    <row r="7" spans="1:18" hidden="1" x14ac:dyDescent="0.25">
      <c r="A7" t="s">
        <v>25</v>
      </c>
      <c r="B7" s="11">
        <v>9.1999999999999993</v>
      </c>
      <c r="C7" s="11">
        <v>10.199999999999999</v>
      </c>
      <c r="D7" s="11"/>
      <c r="E7" s="11">
        <v>10.9</v>
      </c>
      <c r="F7" s="11">
        <v>11</v>
      </c>
      <c r="G7" s="11">
        <v>11</v>
      </c>
      <c r="H7">
        <f t="shared" si="0"/>
        <v>52.3</v>
      </c>
      <c r="K7" t="s">
        <v>65</v>
      </c>
      <c r="L7" s="11"/>
      <c r="M7" s="11"/>
      <c r="N7" s="11"/>
      <c r="O7" s="11"/>
      <c r="P7" s="11"/>
      <c r="Q7" s="11"/>
      <c r="R7" t="e">
        <f>AVERAGE(L7:Q7)</f>
        <v>#DIV/0!</v>
      </c>
    </row>
    <row r="8" spans="1:18" hidden="1" x14ac:dyDescent="0.25">
      <c r="A8" t="s">
        <v>26</v>
      </c>
      <c r="B8" s="11">
        <v>9.9</v>
      </c>
      <c r="C8" s="11">
        <v>9.9</v>
      </c>
      <c r="D8" s="11"/>
      <c r="E8" s="11">
        <v>9.9</v>
      </c>
      <c r="F8" s="11">
        <v>9.9</v>
      </c>
      <c r="G8" s="11"/>
      <c r="H8">
        <f t="shared" si="0"/>
        <v>39.6</v>
      </c>
      <c r="K8" t="s">
        <v>71</v>
      </c>
      <c r="L8" s="11"/>
      <c r="M8" s="11"/>
      <c r="N8" s="11"/>
      <c r="O8" s="11"/>
      <c r="P8" s="11"/>
      <c r="Q8" s="11"/>
      <c r="R8" t="e">
        <f>AVERAGE(L8:Q8)</f>
        <v>#DIV/0!</v>
      </c>
    </row>
    <row r="9" spans="1:18" hidden="1" x14ac:dyDescent="0.25">
      <c r="A9" t="s">
        <v>27</v>
      </c>
      <c r="B9" s="11">
        <v>13.7</v>
      </c>
      <c r="C9" s="11">
        <v>13.5</v>
      </c>
      <c r="D9" s="11">
        <v>13.4</v>
      </c>
      <c r="E9" s="11">
        <v>13.4</v>
      </c>
      <c r="F9" s="11">
        <v>13.3</v>
      </c>
      <c r="G9" s="11">
        <v>13.4</v>
      </c>
      <c r="H9">
        <f t="shared" si="0"/>
        <v>80.7</v>
      </c>
      <c r="K9" t="s">
        <v>72</v>
      </c>
      <c r="L9" s="11"/>
      <c r="M9" s="11"/>
      <c r="N9" s="11"/>
      <c r="O9" s="11"/>
      <c r="P9" s="11"/>
      <c r="Q9" s="11"/>
      <c r="R9" t="e">
        <f>AVERAGE(L9:Q9)</f>
        <v>#DIV/0!</v>
      </c>
    </row>
    <row r="10" spans="1:18" hidden="1" x14ac:dyDescent="0.25">
      <c r="A10" t="s">
        <v>28</v>
      </c>
      <c r="B10" s="11">
        <v>6.5</v>
      </c>
      <c r="C10" s="11">
        <v>6.3</v>
      </c>
      <c r="D10" s="11"/>
      <c r="E10" s="11">
        <v>6.3</v>
      </c>
      <c r="F10" s="11">
        <v>6.3</v>
      </c>
      <c r="G10" s="11">
        <v>6.3</v>
      </c>
      <c r="H10">
        <f t="shared" si="0"/>
        <v>31.700000000000003</v>
      </c>
      <c r="K10" t="s">
        <v>142</v>
      </c>
      <c r="L10" s="11"/>
      <c r="M10" s="11"/>
      <c r="N10" s="11"/>
      <c r="O10" s="11"/>
      <c r="P10" s="11"/>
      <c r="Q10" s="11"/>
      <c r="R10" t="e">
        <f>AVERAGE(L10:Q10)</f>
        <v>#DIV/0!</v>
      </c>
    </row>
    <row r="11" spans="1:18" hidden="1" x14ac:dyDescent="0.25">
      <c r="A11" t="s">
        <v>29</v>
      </c>
      <c r="B11" s="11">
        <v>2.5</v>
      </c>
      <c r="C11" s="11">
        <v>2.4</v>
      </c>
      <c r="D11" s="11">
        <v>2.4</v>
      </c>
      <c r="E11" s="11">
        <v>2.4</v>
      </c>
      <c r="F11" s="11">
        <v>2.4</v>
      </c>
      <c r="G11" s="11">
        <v>2.4</v>
      </c>
      <c r="H11">
        <f t="shared" si="0"/>
        <v>14.500000000000002</v>
      </c>
      <c r="K11" t="s">
        <v>175</v>
      </c>
      <c r="L11" s="11"/>
      <c r="M11" s="11"/>
      <c r="N11" s="11"/>
      <c r="O11" s="11"/>
      <c r="P11" s="11"/>
      <c r="Q11" s="11"/>
      <c r="R11" t="e">
        <f>AVERAGE(L11:Q11)</f>
        <v>#DIV/0!</v>
      </c>
    </row>
    <row r="12" spans="1:18" hidden="1" x14ac:dyDescent="0.25">
      <c r="A12" t="s">
        <v>30</v>
      </c>
      <c r="B12" s="11"/>
      <c r="C12" s="11">
        <v>8.6999999999999993</v>
      </c>
      <c r="D12" s="11"/>
      <c r="E12" s="11">
        <v>8.5</v>
      </c>
      <c r="F12" s="11">
        <v>8.1999999999999993</v>
      </c>
      <c r="G12" s="11">
        <v>8.1999999999999993</v>
      </c>
      <c r="H12">
        <f t="shared" si="0"/>
        <v>33.599999999999994</v>
      </c>
      <c r="K12" t="s">
        <v>186</v>
      </c>
      <c r="L12" s="11"/>
      <c r="M12" s="11"/>
      <c r="N12" s="11"/>
      <c r="O12" s="11"/>
      <c r="P12" s="11"/>
      <c r="Q12" s="11"/>
      <c r="R12" t="e">
        <f>AVERAGE(L12:Q12)</f>
        <v>#DIV/0!</v>
      </c>
    </row>
    <row r="13" spans="1:18" x14ac:dyDescent="0.25">
      <c r="A13" t="s">
        <v>31</v>
      </c>
      <c r="B13" s="11">
        <v>32.5</v>
      </c>
      <c r="C13" s="11"/>
      <c r="D13" s="11"/>
      <c r="E13" s="11"/>
      <c r="F13" s="11"/>
      <c r="G13" s="11"/>
      <c r="H13">
        <f t="shared" si="0"/>
        <v>32.5</v>
      </c>
      <c r="K13" t="s">
        <v>88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>
        <f>AVERAGE(L13:Q13)</f>
        <v>0</v>
      </c>
    </row>
    <row r="14" spans="1:18" x14ac:dyDescent="0.25">
      <c r="A14" t="s">
        <v>32</v>
      </c>
      <c r="B14" s="11">
        <v>5.3</v>
      </c>
      <c r="C14" s="11">
        <v>4.8</v>
      </c>
      <c r="D14" s="11">
        <v>4.8</v>
      </c>
      <c r="E14" s="11">
        <v>4.8</v>
      </c>
      <c r="F14" s="11">
        <v>4.5</v>
      </c>
      <c r="G14" s="11">
        <v>4.5</v>
      </c>
      <c r="H14">
        <f t="shared" si="0"/>
        <v>28.7</v>
      </c>
      <c r="K14" t="s">
        <v>99</v>
      </c>
      <c r="L14" s="11"/>
      <c r="M14" s="11">
        <v>0</v>
      </c>
      <c r="N14" s="11"/>
      <c r="O14" s="11">
        <v>0</v>
      </c>
      <c r="P14" s="11">
        <v>0</v>
      </c>
      <c r="Q14" s="11">
        <v>0</v>
      </c>
      <c r="R14">
        <f>AVERAGE(L14:Q14)</f>
        <v>0</v>
      </c>
    </row>
    <row r="15" spans="1:18" x14ac:dyDescent="0.25">
      <c r="A15" t="s">
        <v>33</v>
      </c>
      <c r="B15" s="11">
        <v>14</v>
      </c>
      <c r="C15" s="11">
        <v>14</v>
      </c>
      <c r="D15" s="11"/>
      <c r="E15" s="11">
        <v>14</v>
      </c>
      <c r="F15" s="11">
        <v>14.1</v>
      </c>
      <c r="G15" s="11">
        <v>14.1</v>
      </c>
      <c r="H15">
        <f t="shared" si="0"/>
        <v>70.2</v>
      </c>
      <c r="K15" t="s">
        <v>108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>
        <f>AVERAGE(L15:Q15)</f>
        <v>0</v>
      </c>
    </row>
    <row r="16" spans="1:18" x14ac:dyDescent="0.25">
      <c r="A16" t="s">
        <v>34</v>
      </c>
      <c r="B16" s="11"/>
      <c r="C16" s="11"/>
      <c r="D16" s="11"/>
      <c r="E16" s="11">
        <v>11.7</v>
      </c>
      <c r="F16" s="11">
        <v>13.9</v>
      </c>
      <c r="G16" s="11"/>
      <c r="H16">
        <f t="shared" si="0"/>
        <v>25.6</v>
      </c>
      <c r="K16" t="s">
        <v>155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>
        <f>AVERAGE(L16:Q16)</f>
        <v>0</v>
      </c>
    </row>
    <row r="17" spans="1:18" x14ac:dyDescent="0.25">
      <c r="A17" t="s">
        <v>35</v>
      </c>
      <c r="B17" s="11">
        <v>6.8</v>
      </c>
      <c r="C17" s="11">
        <v>6.8</v>
      </c>
      <c r="D17" s="11"/>
      <c r="E17" s="11">
        <v>6.7</v>
      </c>
      <c r="F17" s="11">
        <v>6.6</v>
      </c>
      <c r="G17" s="11">
        <v>6.6</v>
      </c>
      <c r="H17">
        <f t="shared" si="0"/>
        <v>33.5</v>
      </c>
      <c r="K17" t="s">
        <v>44</v>
      </c>
      <c r="L17" s="11">
        <v>0.3</v>
      </c>
      <c r="M17" s="11">
        <v>0.3</v>
      </c>
      <c r="N17" s="11"/>
      <c r="O17" s="11">
        <v>0.3</v>
      </c>
      <c r="P17" s="11">
        <v>0.2</v>
      </c>
      <c r="Q17" s="11">
        <v>0.5</v>
      </c>
      <c r="R17">
        <f>AVERAGE(L17:Q17)</f>
        <v>0.31999999999999995</v>
      </c>
    </row>
    <row r="18" spans="1:18" x14ac:dyDescent="0.25">
      <c r="A18" t="s">
        <v>36</v>
      </c>
      <c r="B18" s="11">
        <v>11.9</v>
      </c>
      <c r="C18" s="11">
        <v>11.9</v>
      </c>
      <c r="D18" s="11"/>
      <c r="E18" s="11">
        <v>11.9</v>
      </c>
      <c r="F18" s="11"/>
      <c r="G18" s="11">
        <v>11.9</v>
      </c>
      <c r="H18">
        <f t="shared" si="0"/>
        <v>47.6</v>
      </c>
      <c r="K18" t="s">
        <v>115</v>
      </c>
      <c r="L18" s="11">
        <v>0.8</v>
      </c>
      <c r="M18" s="11">
        <v>0.8</v>
      </c>
      <c r="N18" s="11">
        <v>0.8</v>
      </c>
      <c r="O18" s="11">
        <v>0.8</v>
      </c>
      <c r="P18" s="11">
        <v>0.8</v>
      </c>
      <c r="Q18" s="11">
        <v>0.8</v>
      </c>
      <c r="R18">
        <f>AVERAGE(L18:Q18)</f>
        <v>0.79999999999999993</v>
      </c>
    </row>
    <row r="19" spans="1:18" x14ac:dyDescent="0.25">
      <c r="A19" t="s">
        <v>37</v>
      </c>
      <c r="B19" s="11">
        <v>12.2</v>
      </c>
      <c r="C19" s="11">
        <v>12.1</v>
      </c>
      <c r="D19" s="11">
        <v>12.1</v>
      </c>
      <c r="E19" s="11">
        <v>12.1</v>
      </c>
      <c r="F19" s="11">
        <v>12</v>
      </c>
      <c r="G19" s="11">
        <v>12</v>
      </c>
      <c r="H19">
        <f t="shared" si="0"/>
        <v>72.5</v>
      </c>
      <c r="K19" t="s">
        <v>79</v>
      </c>
      <c r="L19" s="11">
        <v>1.4</v>
      </c>
      <c r="M19" s="11">
        <v>1.4</v>
      </c>
      <c r="N19" s="11">
        <v>1.4</v>
      </c>
      <c r="O19" s="11">
        <v>1.4</v>
      </c>
      <c r="P19" s="11">
        <v>1.4</v>
      </c>
      <c r="Q19" s="11">
        <v>1.5</v>
      </c>
      <c r="R19">
        <f>AVERAGE(L19:Q19)</f>
        <v>1.4166666666666667</v>
      </c>
    </row>
    <row r="20" spans="1:18" x14ac:dyDescent="0.25">
      <c r="A20" t="s">
        <v>38</v>
      </c>
      <c r="B20" s="11"/>
      <c r="C20" s="11"/>
      <c r="D20" s="11"/>
      <c r="E20" s="11"/>
      <c r="F20" s="11"/>
      <c r="G20" s="11"/>
      <c r="H20">
        <f t="shared" si="0"/>
        <v>0</v>
      </c>
      <c r="K20" t="s">
        <v>127</v>
      </c>
      <c r="L20" s="11">
        <v>2</v>
      </c>
      <c r="M20" s="11">
        <v>2</v>
      </c>
      <c r="N20" s="11">
        <v>1.9</v>
      </c>
      <c r="O20" s="11">
        <v>1.9</v>
      </c>
      <c r="P20" s="11">
        <v>1.9</v>
      </c>
      <c r="Q20" s="11">
        <v>1.9</v>
      </c>
      <c r="R20">
        <f>AVERAGE(L20:Q20)</f>
        <v>1.9333333333333336</v>
      </c>
    </row>
    <row r="21" spans="1:18" x14ac:dyDescent="0.25">
      <c r="A21" t="s">
        <v>39</v>
      </c>
      <c r="B21" s="11"/>
      <c r="C21" s="11">
        <v>22.1</v>
      </c>
      <c r="D21" s="11"/>
      <c r="E21" s="11">
        <v>9.6999999999999993</v>
      </c>
      <c r="F21" s="11">
        <v>9.8000000000000007</v>
      </c>
      <c r="G21" s="11">
        <v>9.3000000000000007</v>
      </c>
      <c r="H21">
        <f t="shared" si="0"/>
        <v>50.900000000000006</v>
      </c>
      <c r="K21" t="s">
        <v>139</v>
      </c>
      <c r="L21" s="11">
        <v>2.4</v>
      </c>
      <c r="M21" s="11">
        <v>2.4</v>
      </c>
      <c r="N21" s="11"/>
      <c r="O21" s="11">
        <v>2.4</v>
      </c>
      <c r="P21" s="11">
        <v>2.2999999999999998</v>
      </c>
      <c r="Q21" s="11">
        <v>2.2999999999999998</v>
      </c>
      <c r="R21">
        <f>AVERAGE(L21:Q21)</f>
        <v>2.3600000000000003</v>
      </c>
    </row>
    <row r="22" spans="1:18" x14ac:dyDescent="0.25">
      <c r="A22" t="s">
        <v>40</v>
      </c>
      <c r="B22" s="11">
        <v>11.8</v>
      </c>
      <c r="C22" s="11">
        <v>11.8</v>
      </c>
      <c r="D22" s="11">
        <v>11.8</v>
      </c>
      <c r="E22" s="11">
        <v>11.8</v>
      </c>
      <c r="F22" s="11">
        <v>11.7</v>
      </c>
      <c r="G22" s="11">
        <v>11.8</v>
      </c>
      <c r="H22">
        <f t="shared" si="0"/>
        <v>70.7</v>
      </c>
      <c r="K22" t="s">
        <v>29</v>
      </c>
      <c r="L22" s="11">
        <v>2.5</v>
      </c>
      <c r="M22" s="11">
        <v>2.4</v>
      </c>
      <c r="N22" s="11">
        <v>2.4</v>
      </c>
      <c r="O22" s="11">
        <v>2.4</v>
      </c>
      <c r="P22" s="11">
        <v>2.4</v>
      </c>
      <c r="Q22" s="11">
        <v>2.4</v>
      </c>
      <c r="R22">
        <f>AVERAGE(L22:Q22)</f>
        <v>2.416666666666667</v>
      </c>
    </row>
    <row r="23" spans="1:18" x14ac:dyDescent="0.25">
      <c r="A23" t="s">
        <v>41</v>
      </c>
      <c r="B23" s="11">
        <v>6.3</v>
      </c>
      <c r="C23" s="11">
        <v>6.3</v>
      </c>
      <c r="D23" s="11"/>
      <c r="E23" s="11">
        <v>6.4</v>
      </c>
      <c r="F23" s="11">
        <v>6.2</v>
      </c>
      <c r="G23" s="11">
        <v>6.2</v>
      </c>
      <c r="H23">
        <f t="shared" si="0"/>
        <v>31.4</v>
      </c>
      <c r="K23" t="s">
        <v>169</v>
      </c>
      <c r="L23" s="11"/>
      <c r="M23" s="11"/>
      <c r="N23" s="11"/>
      <c r="O23" s="11">
        <v>2.5</v>
      </c>
      <c r="P23" s="11">
        <v>2.5</v>
      </c>
      <c r="Q23" s="11">
        <v>2.5</v>
      </c>
      <c r="R23">
        <f>AVERAGE(L23:Q23)</f>
        <v>2.5</v>
      </c>
    </row>
    <row r="24" spans="1:18" x14ac:dyDescent="0.25">
      <c r="A24" t="s">
        <v>42</v>
      </c>
      <c r="B24" s="11">
        <v>7.7</v>
      </c>
      <c r="C24" s="11">
        <v>7.7</v>
      </c>
      <c r="D24" s="11">
        <v>7.7</v>
      </c>
      <c r="E24" s="11">
        <v>7.7</v>
      </c>
      <c r="F24" s="11">
        <v>7.6</v>
      </c>
      <c r="G24" s="11">
        <v>7.5</v>
      </c>
      <c r="H24">
        <f t="shared" si="0"/>
        <v>45.9</v>
      </c>
      <c r="K24" t="s">
        <v>153</v>
      </c>
      <c r="L24" s="11">
        <v>3.2</v>
      </c>
      <c r="M24" s="11">
        <v>2.5</v>
      </c>
      <c r="N24" s="11">
        <v>2.5</v>
      </c>
      <c r="O24" s="11">
        <v>2.4</v>
      </c>
      <c r="P24" s="11">
        <v>2.5</v>
      </c>
      <c r="Q24" s="11">
        <v>2.6</v>
      </c>
      <c r="R24">
        <f>AVERAGE(L24:Q24)</f>
        <v>2.6166666666666667</v>
      </c>
    </row>
    <row r="25" spans="1:18" x14ac:dyDescent="0.25">
      <c r="A25" t="s">
        <v>43</v>
      </c>
      <c r="B25" s="11">
        <v>13.4</v>
      </c>
      <c r="C25" s="11">
        <v>13.4</v>
      </c>
      <c r="D25" s="11">
        <v>13.3</v>
      </c>
      <c r="E25" s="11">
        <v>13.3</v>
      </c>
      <c r="F25" s="11">
        <v>11.1</v>
      </c>
      <c r="G25" s="11">
        <v>11.2</v>
      </c>
      <c r="H25">
        <f t="shared" si="0"/>
        <v>75.7</v>
      </c>
      <c r="K25" t="s">
        <v>93</v>
      </c>
      <c r="L25" s="11"/>
      <c r="M25" s="11">
        <v>3.6</v>
      </c>
      <c r="N25" s="11">
        <v>3.5</v>
      </c>
      <c r="O25" s="11">
        <v>3.6</v>
      </c>
      <c r="P25" s="11">
        <v>3.4</v>
      </c>
      <c r="Q25" s="11">
        <v>1.3</v>
      </c>
      <c r="R25">
        <f>AVERAGE(L25:Q25)</f>
        <v>3.08</v>
      </c>
    </row>
    <row r="26" spans="1:18" x14ac:dyDescent="0.25">
      <c r="A26" t="s">
        <v>44</v>
      </c>
      <c r="B26" s="11">
        <v>0.3</v>
      </c>
      <c r="C26" s="11">
        <v>0.3</v>
      </c>
      <c r="D26" s="11"/>
      <c r="E26" s="11">
        <v>0.3</v>
      </c>
      <c r="F26" s="11">
        <v>0.2</v>
      </c>
      <c r="G26" s="11">
        <v>0.5</v>
      </c>
      <c r="H26">
        <f t="shared" si="0"/>
        <v>1.5999999999999999</v>
      </c>
      <c r="K26" t="s">
        <v>180</v>
      </c>
      <c r="L26" s="11">
        <v>3.5</v>
      </c>
      <c r="M26" s="11">
        <v>3.3</v>
      </c>
      <c r="N26" s="11">
        <v>3.4</v>
      </c>
      <c r="O26" s="11">
        <v>3.4</v>
      </c>
      <c r="P26" s="11">
        <v>3.3</v>
      </c>
      <c r="Q26" s="11">
        <v>3.3</v>
      </c>
      <c r="R26">
        <f>AVERAGE(L26:Q26)</f>
        <v>3.3666666666666667</v>
      </c>
    </row>
    <row r="27" spans="1:18" x14ac:dyDescent="0.25">
      <c r="A27" t="s">
        <v>45</v>
      </c>
      <c r="B27" s="11"/>
      <c r="C27" s="11"/>
      <c r="D27" s="11"/>
      <c r="E27" s="11"/>
      <c r="F27" s="11"/>
      <c r="G27" s="11"/>
      <c r="H27">
        <f t="shared" si="0"/>
        <v>0</v>
      </c>
      <c r="K27" t="s">
        <v>59</v>
      </c>
      <c r="L27" s="11">
        <v>3.3</v>
      </c>
      <c r="M27" s="11">
        <v>3.4</v>
      </c>
      <c r="N27" s="11"/>
      <c r="O27" s="11">
        <v>3.5</v>
      </c>
      <c r="P27" s="11">
        <v>3.3</v>
      </c>
      <c r="Q27" s="11">
        <v>3.4</v>
      </c>
      <c r="R27">
        <f>AVERAGE(L27:Q27)</f>
        <v>3.38</v>
      </c>
    </row>
    <row r="28" spans="1:18" x14ac:dyDescent="0.25">
      <c r="A28" t="s">
        <v>46</v>
      </c>
      <c r="B28" s="11">
        <v>12.2</v>
      </c>
      <c r="C28" s="11">
        <v>12.1</v>
      </c>
      <c r="D28" s="11">
        <v>12.1</v>
      </c>
      <c r="E28" s="11">
        <v>12.1</v>
      </c>
      <c r="F28" s="11">
        <v>12</v>
      </c>
      <c r="G28" s="11">
        <v>12</v>
      </c>
      <c r="H28">
        <f t="shared" si="0"/>
        <v>72.5</v>
      </c>
      <c r="K28" t="s">
        <v>89</v>
      </c>
      <c r="L28" s="11">
        <v>4.3</v>
      </c>
      <c r="M28" s="11">
        <v>3.1</v>
      </c>
      <c r="N28" s="11"/>
      <c r="O28" s="11">
        <v>3.1</v>
      </c>
      <c r="P28" s="11">
        <v>3.3</v>
      </c>
      <c r="Q28" s="11">
        <v>3.3</v>
      </c>
      <c r="R28">
        <f>AVERAGE(L28:Q28)</f>
        <v>3.4200000000000004</v>
      </c>
    </row>
    <row r="29" spans="1:18" x14ac:dyDescent="0.25">
      <c r="A29" t="s">
        <v>47</v>
      </c>
      <c r="B29" s="11">
        <v>12.8</v>
      </c>
      <c r="C29" s="11">
        <v>12.8</v>
      </c>
      <c r="D29" s="11">
        <v>12.8</v>
      </c>
      <c r="E29" s="11">
        <v>12.8</v>
      </c>
      <c r="F29" s="11">
        <v>13.6</v>
      </c>
      <c r="G29" s="11">
        <v>14</v>
      </c>
      <c r="H29">
        <f t="shared" si="0"/>
        <v>78.8</v>
      </c>
      <c r="K29" t="s">
        <v>23</v>
      </c>
      <c r="L29" s="11">
        <v>3.6</v>
      </c>
      <c r="M29" s="11">
        <v>3.6</v>
      </c>
      <c r="N29" s="11">
        <v>3.6</v>
      </c>
      <c r="O29" s="11">
        <v>3.6</v>
      </c>
      <c r="P29" s="11">
        <v>3.6</v>
      </c>
      <c r="Q29" s="11">
        <v>3.5</v>
      </c>
      <c r="R29">
        <f>AVERAGE(L29:Q29)</f>
        <v>3.5833333333333335</v>
      </c>
    </row>
    <row r="30" spans="1:18" x14ac:dyDescent="0.25">
      <c r="A30" t="s">
        <v>48</v>
      </c>
      <c r="B30" s="11"/>
      <c r="C30" s="11">
        <v>10.199999999999999</v>
      </c>
      <c r="D30" s="11">
        <v>10.199999999999999</v>
      </c>
      <c r="E30" s="11">
        <v>10.199999999999999</v>
      </c>
      <c r="F30" s="11">
        <v>11.9</v>
      </c>
      <c r="G30" s="11">
        <v>11.9</v>
      </c>
      <c r="H30">
        <f t="shared" si="0"/>
        <v>54.4</v>
      </c>
      <c r="K30" t="s">
        <v>120</v>
      </c>
      <c r="L30" s="11">
        <v>3.7</v>
      </c>
      <c r="M30" s="11">
        <v>3.7</v>
      </c>
      <c r="N30" s="11">
        <v>3.7</v>
      </c>
      <c r="O30" s="11">
        <v>3.7</v>
      </c>
      <c r="P30" s="11">
        <v>3.7</v>
      </c>
      <c r="Q30" s="11">
        <v>3.7</v>
      </c>
      <c r="R30">
        <f>AVERAGE(L30:Q30)</f>
        <v>3.6999999999999997</v>
      </c>
    </row>
    <row r="31" spans="1:18" x14ac:dyDescent="0.25">
      <c r="A31" t="s">
        <v>49</v>
      </c>
      <c r="B31" s="11"/>
      <c r="C31" s="11"/>
      <c r="D31" s="11">
        <v>10.3</v>
      </c>
      <c r="E31" s="11">
        <v>10.199999999999999</v>
      </c>
      <c r="F31" s="11">
        <v>10.199999999999999</v>
      </c>
      <c r="G31" s="11">
        <v>9.4</v>
      </c>
      <c r="H31">
        <f t="shared" si="0"/>
        <v>40.1</v>
      </c>
      <c r="K31" t="s">
        <v>179</v>
      </c>
      <c r="L31" s="11"/>
      <c r="M31" s="11"/>
      <c r="N31" s="11"/>
      <c r="O31" s="11">
        <v>3.9</v>
      </c>
      <c r="P31" s="11">
        <v>3.8</v>
      </c>
      <c r="Q31" s="11">
        <v>3.8</v>
      </c>
      <c r="R31">
        <f>AVERAGE(L31:Q31)</f>
        <v>3.8333333333333335</v>
      </c>
    </row>
    <row r="32" spans="1:18" x14ac:dyDescent="0.25">
      <c r="A32" t="s">
        <v>50</v>
      </c>
      <c r="B32" s="11"/>
      <c r="C32" s="11">
        <v>18.2</v>
      </c>
      <c r="D32" s="11"/>
      <c r="E32" s="11"/>
      <c r="F32" s="11">
        <v>18.100000000000001</v>
      </c>
      <c r="G32" s="11">
        <v>18.100000000000001</v>
      </c>
      <c r="H32">
        <f t="shared" si="0"/>
        <v>54.4</v>
      </c>
      <c r="K32" t="s">
        <v>135</v>
      </c>
      <c r="L32" s="11">
        <v>3.8</v>
      </c>
      <c r="M32" s="11">
        <v>3.8</v>
      </c>
      <c r="N32" s="11"/>
      <c r="O32" s="11">
        <v>4</v>
      </c>
      <c r="P32" s="11">
        <v>4</v>
      </c>
      <c r="Q32" s="11"/>
      <c r="R32">
        <f>AVERAGE(L32:Q32)</f>
        <v>3.9</v>
      </c>
    </row>
    <row r="33" spans="1:18" x14ac:dyDescent="0.25">
      <c r="A33" t="s">
        <v>51</v>
      </c>
      <c r="B33" s="11">
        <v>4</v>
      </c>
      <c r="C33" s="11">
        <v>3.9</v>
      </c>
      <c r="D33" s="11">
        <v>3.9</v>
      </c>
      <c r="E33" s="11">
        <v>4</v>
      </c>
      <c r="F33" s="11">
        <v>3.8</v>
      </c>
      <c r="G33" s="11">
        <v>3.8</v>
      </c>
      <c r="H33">
        <f t="shared" si="0"/>
        <v>23.400000000000002</v>
      </c>
      <c r="K33" t="s">
        <v>51</v>
      </c>
      <c r="L33" s="11">
        <v>4</v>
      </c>
      <c r="M33" s="11">
        <v>3.9</v>
      </c>
      <c r="N33" s="11">
        <v>3.9</v>
      </c>
      <c r="O33" s="11">
        <v>4</v>
      </c>
      <c r="P33" s="11">
        <v>3.8</v>
      </c>
      <c r="Q33" s="11">
        <v>3.8</v>
      </c>
      <c r="R33">
        <f>AVERAGE(L33:Q33)</f>
        <v>3.9000000000000004</v>
      </c>
    </row>
    <row r="34" spans="1:18" x14ac:dyDescent="0.25">
      <c r="A34" t="s">
        <v>52</v>
      </c>
      <c r="B34" s="11"/>
      <c r="C34" s="11"/>
      <c r="D34" s="11"/>
      <c r="E34" s="11"/>
      <c r="F34" s="11">
        <v>18.100000000000001</v>
      </c>
      <c r="G34" s="11">
        <v>18.100000000000001</v>
      </c>
      <c r="H34">
        <f t="shared" si="0"/>
        <v>36.200000000000003</v>
      </c>
      <c r="K34" t="s">
        <v>95</v>
      </c>
      <c r="L34" s="11">
        <v>4.4000000000000004</v>
      </c>
      <c r="M34" s="11">
        <v>4.3</v>
      </c>
      <c r="N34" s="11">
        <v>4.4000000000000004</v>
      </c>
      <c r="O34" s="11">
        <v>4.2</v>
      </c>
      <c r="P34" s="11">
        <v>3.9</v>
      </c>
      <c r="Q34" s="11">
        <v>3.7</v>
      </c>
      <c r="R34">
        <f>AVERAGE(L34:Q34)</f>
        <v>4.1499999999999995</v>
      </c>
    </row>
    <row r="35" spans="1:18" x14ac:dyDescent="0.25">
      <c r="A35" t="s">
        <v>53</v>
      </c>
      <c r="B35" s="11"/>
      <c r="C35" s="11"/>
      <c r="D35" s="11"/>
      <c r="E35" s="11"/>
      <c r="F35" s="11">
        <v>18.100000000000001</v>
      </c>
      <c r="G35" s="11">
        <v>18.100000000000001</v>
      </c>
      <c r="H35">
        <f t="shared" si="0"/>
        <v>36.200000000000003</v>
      </c>
      <c r="K35" t="s">
        <v>137</v>
      </c>
      <c r="L35" s="11">
        <v>4.3</v>
      </c>
      <c r="M35" s="11">
        <v>4</v>
      </c>
      <c r="N35" s="11"/>
      <c r="O35" s="11">
        <v>4.2</v>
      </c>
      <c r="P35" s="11">
        <v>4.0999999999999996</v>
      </c>
      <c r="Q35" s="11">
        <v>4.2</v>
      </c>
      <c r="R35">
        <f>AVERAGE(L35:Q35)</f>
        <v>4.16</v>
      </c>
    </row>
    <row r="36" spans="1:18" x14ac:dyDescent="0.25">
      <c r="A36" t="s">
        <v>54</v>
      </c>
      <c r="B36" s="11">
        <v>6</v>
      </c>
      <c r="C36" s="11">
        <v>6</v>
      </c>
      <c r="D36" s="11">
        <v>6</v>
      </c>
      <c r="E36" s="11">
        <v>6</v>
      </c>
      <c r="F36" s="11">
        <v>6</v>
      </c>
      <c r="G36" s="11">
        <v>6</v>
      </c>
      <c r="H36">
        <f t="shared" si="0"/>
        <v>36</v>
      </c>
      <c r="K36" t="s">
        <v>177</v>
      </c>
      <c r="L36" s="11">
        <v>4.5</v>
      </c>
      <c r="M36" s="11">
        <v>4.5</v>
      </c>
      <c r="N36" s="11">
        <v>4.5</v>
      </c>
      <c r="O36" s="11">
        <v>4.4000000000000004</v>
      </c>
      <c r="P36" s="11">
        <v>4.4000000000000004</v>
      </c>
      <c r="Q36" s="11">
        <v>4.3</v>
      </c>
      <c r="R36">
        <f>AVERAGE(L36:Q36)</f>
        <v>4.4333333333333327</v>
      </c>
    </row>
    <row r="37" spans="1:18" x14ac:dyDescent="0.25">
      <c r="A37" t="s">
        <v>55</v>
      </c>
      <c r="B37" s="11">
        <v>9.8000000000000007</v>
      </c>
      <c r="C37" s="11">
        <v>7.6</v>
      </c>
      <c r="D37" s="11">
        <v>7.5</v>
      </c>
      <c r="E37" s="11">
        <v>7.5</v>
      </c>
      <c r="F37" s="11">
        <v>7.5</v>
      </c>
      <c r="G37" s="11">
        <v>7.5</v>
      </c>
      <c r="H37">
        <f t="shared" si="0"/>
        <v>47.4</v>
      </c>
      <c r="K37" t="s">
        <v>101</v>
      </c>
      <c r="L37" s="11">
        <v>4.7</v>
      </c>
      <c r="M37" s="11">
        <v>4.7</v>
      </c>
      <c r="N37" s="11"/>
      <c r="O37" s="11">
        <v>4.7</v>
      </c>
      <c r="P37" s="11">
        <v>4.7</v>
      </c>
      <c r="Q37" s="11">
        <v>4.7</v>
      </c>
      <c r="R37">
        <f>AVERAGE(L37:Q37)</f>
        <v>4.7</v>
      </c>
    </row>
    <row r="38" spans="1:18" x14ac:dyDescent="0.25">
      <c r="A38" t="s">
        <v>165</v>
      </c>
      <c r="B38" s="11">
        <v>6.5</v>
      </c>
      <c r="C38" s="11">
        <v>6.6</v>
      </c>
      <c r="D38" s="11">
        <v>6.5</v>
      </c>
      <c r="E38" s="11">
        <v>6.6</v>
      </c>
      <c r="F38" s="11">
        <v>6.5</v>
      </c>
      <c r="G38" s="11">
        <v>6.5</v>
      </c>
      <c r="H38">
        <f t="shared" si="0"/>
        <v>39.200000000000003</v>
      </c>
      <c r="K38" t="s">
        <v>107</v>
      </c>
      <c r="L38" s="11"/>
      <c r="M38" s="11"/>
      <c r="N38" s="11"/>
      <c r="O38" s="11">
        <v>5.2</v>
      </c>
      <c r="P38" s="11">
        <v>4.5</v>
      </c>
      <c r="Q38" s="11">
        <v>4.5</v>
      </c>
      <c r="R38">
        <f>AVERAGE(L38:Q38)</f>
        <v>4.7333333333333334</v>
      </c>
    </row>
    <row r="39" spans="1:18" x14ac:dyDescent="0.25">
      <c r="A39" t="s">
        <v>56</v>
      </c>
      <c r="B39" s="11">
        <v>5.5</v>
      </c>
      <c r="C39" s="11">
        <v>5.4</v>
      </c>
      <c r="D39" s="11">
        <v>5.8</v>
      </c>
      <c r="E39" s="11">
        <v>5.8</v>
      </c>
      <c r="F39" s="11">
        <v>5.8</v>
      </c>
      <c r="G39" s="11">
        <v>6.7</v>
      </c>
      <c r="H39">
        <f t="shared" si="0"/>
        <v>35</v>
      </c>
      <c r="K39" t="s">
        <v>178</v>
      </c>
      <c r="L39" s="11">
        <v>4.8</v>
      </c>
      <c r="M39" s="11">
        <v>4.8</v>
      </c>
      <c r="N39" s="11">
        <v>4.7</v>
      </c>
      <c r="O39" s="11">
        <v>4.8</v>
      </c>
      <c r="P39" s="11">
        <v>4.7</v>
      </c>
      <c r="Q39" s="11">
        <v>4.7</v>
      </c>
      <c r="R39">
        <f>AVERAGE(L39:Q39)</f>
        <v>4.75</v>
      </c>
    </row>
    <row r="40" spans="1:18" x14ac:dyDescent="0.25">
      <c r="A40" t="s">
        <v>57</v>
      </c>
      <c r="B40" s="11">
        <v>15.4</v>
      </c>
      <c r="C40" s="11">
        <v>15.8</v>
      </c>
      <c r="D40" s="11"/>
      <c r="E40" s="11">
        <v>15.1</v>
      </c>
      <c r="F40" s="11">
        <v>15.1</v>
      </c>
      <c r="G40" s="11"/>
      <c r="H40">
        <f t="shared" si="0"/>
        <v>61.400000000000006</v>
      </c>
      <c r="K40" t="s">
        <v>32</v>
      </c>
      <c r="L40" s="11">
        <v>5.3</v>
      </c>
      <c r="M40" s="11">
        <v>4.8</v>
      </c>
      <c r="N40" s="11">
        <v>4.8</v>
      </c>
      <c r="O40" s="11">
        <v>4.8</v>
      </c>
      <c r="P40" s="11">
        <v>4.5</v>
      </c>
      <c r="Q40" s="11">
        <v>4.5</v>
      </c>
      <c r="R40">
        <f>AVERAGE(L40:Q40)</f>
        <v>4.7833333333333332</v>
      </c>
    </row>
    <row r="41" spans="1:18" x14ac:dyDescent="0.25">
      <c r="A41" t="s">
        <v>58</v>
      </c>
      <c r="B41" s="11"/>
      <c r="C41" s="11"/>
      <c r="D41" s="11"/>
      <c r="E41" s="11"/>
      <c r="F41" s="11">
        <v>18.100000000000001</v>
      </c>
      <c r="G41" s="11">
        <v>18.100000000000001</v>
      </c>
      <c r="H41">
        <f t="shared" si="0"/>
        <v>36.200000000000003</v>
      </c>
      <c r="K41" t="s">
        <v>141</v>
      </c>
      <c r="L41" s="11">
        <v>4.8</v>
      </c>
      <c r="M41" s="11">
        <v>4.8</v>
      </c>
      <c r="N41" s="11">
        <v>5.0999999999999996</v>
      </c>
      <c r="O41" s="11">
        <v>5.0999999999999996</v>
      </c>
      <c r="P41" s="11">
        <v>4.7</v>
      </c>
      <c r="Q41" s="11">
        <v>4.7</v>
      </c>
      <c r="R41">
        <f>AVERAGE(L41:Q41)</f>
        <v>4.8666666666666663</v>
      </c>
    </row>
    <row r="42" spans="1:18" x14ac:dyDescent="0.25">
      <c r="A42" t="s">
        <v>59</v>
      </c>
      <c r="B42" s="11">
        <v>3.3</v>
      </c>
      <c r="C42" s="11">
        <v>3.4</v>
      </c>
      <c r="D42" s="11"/>
      <c r="E42" s="11">
        <v>3.5</v>
      </c>
      <c r="F42" s="11">
        <v>3.3</v>
      </c>
      <c r="G42" s="11">
        <v>3.4</v>
      </c>
      <c r="H42">
        <f t="shared" si="0"/>
        <v>16.899999999999999</v>
      </c>
      <c r="K42" t="s">
        <v>86</v>
      </c>
      <c r="L42" s="11"/>
      <c r="M42" s="11"/>
      <c r="N42" s="11">
        <v>4.9000000000000004</v>
      </c>
      <c r="O42" s="11"/>
      <c r="P42" s="11"/>
      <c r="Q42" s="11">
        <v>4.9000000000000004</v>
      </c>
      <c r="R42">
        <f>AVERAGE(L42:Q42)</f>
        <v>4.9000000000000004</v>
      </c>
    </row>
    <row r="43" spans="1:18" x14ac:dyDescent="0.25">
      <c r="A43" t="s">
        <v>60</v>
      </c>
      <c r="B43" s="11">
        <v>5.6</v>
      </c>
      <c r="C43" s="11">
        <v>5.6</v>
      </c>
      <c r="D43" s="11">
        <v>5.6</v>
      </c>
      <c r="E43" s="11">
        <v>5.6</v>
      </c>
      <c r="F43" s="11">
        <v>5.5</v>
      </c>
      <c r="G43" s="11">
        <v>5.5</v>
      </c>
      <c r="H43">
        <f t="shared" si="0"/>
        <v>33.4</v>
      </c>
      <c r="K43" t="s">
        <v>117</v>
      </c>
      <c r="L43" s="11"/>
      <c r="M43" s="11">
        <v>5.0999999999999996</v>
      </c>
      <c r="N43" s="11"/>
      <c r="O43" s="11">
        <v>5.0999999999999996</v>
      </c>
      <c r="P43" s="11">
        <v>5.0999999999999996</v>
      </c>
      <c r="Q43" s="11">
        <v>5</v>
      </c>
      <c r="R43">
        <f>AVERAGE(L43:Q43)</f>
        <v>5.0749999999999993</v>
      </c>
    </row>
    <row r="44" spans="1:18" x14ac:dyDescent="0.25">
      <c r="A44" t="s">
        <v>61</v>
      </c>
      <c r="B44" s="11">
        <v>12.2</v>
      </c>
      <c r="C44" s="11">
        <v>12.1</v>
      </c>
      <c r="D44" s="11">
        <v>12.1</v>
      </c>
      <c r="E44" s="11">
        <v>12.1</v>
      </c>
      <c r="F44" s="11">
        <v>12.1</v>
      </c>
      <c r="G44" s="11">
        <v>12.1</v>
      </c>
      <c r="H44">
        <f t="shared" si="0"/>
        <v>72.7</v>
      </c>
      <c r="K44" t="s">
        <v>136</v>
      </c>
      <c r="L44" s="11">
        <v>5.0999999999999996</v>
      </c>
      <c r="M44" s="11">
        <v>5.0999999999999996</v>
      </c>
      <c r="N44" s="11">
        <v>5.0999999999999996</v>
      </c>
      <c r="O44" s="11">
        <v>5.0999999999999996</v>
      </c>
      <c r="P44" s="11">
        <v>5.0999999999999996</v>
      </c>
      <c r="Q44" s="11">
        <v>5.0999999999999996</v>
      </c>
      <c r="R44">
        <f>AVERAGE(L44:Q44)</f>
        <v>5.1000000000000005</v>
      </c>
    </row>
    <row r="45" spans="1:18" x14ac:dyDescent="0.25">
      <c r="A45" t="s">
        <v>62</v>
      </c>
      <c r="B45" s="11"/>
      <c r="C45" s="11"/>
      <c r="D45" s="11"/>
      <c r="E45" s="11"/>
      <c r="F45" s="11"/>
      <c r="G45" s="11"/>
      <c r="H45">
        <f t="shared" si="0"/>
        <v>0</v>
      </c>
      <c r="K45" t="s">
        <v>75</v>
      </c>
      <c r="L45" s="11">
        <v>5.2</v>
      </c>
      <c r="M45" s="11">
        <v>5.0999999999999996</v>
      </c>
      <c r="N45" s="11">
        <v>5.0999999999999996</v>
      </c>
      <c r="O45" s="11">
        <v>5.2</v>
      </c>
      <c r="P45" s="11">
        <v>5.0999999999999996</v>
      </c>
      <c r="Q45" s="11">
        <v>5</v>
      </c>
      <c r="R45">
        <f>AVERAGE(L45:Q45)</f>
        <v>5.1166666666666671</v>
      </c>
    </row>
    <row r="46" spans="1:18" x14ac:dyDescent="0.25">
      <c r="A46" t="s">
        <v>63</v>
      </c>
      <c r="B46" s="11"/>
      <c r="C46" s="11">
        <v>10.1</v>
      </c>
      <c r="D46" s="11">
        <v>10.1</v>
      </c>
      <c r="E46" s="11">
        <v>4.4000000000000004</v>
      </c>
      <c r="F46" s="11">
        <v>4.4000000000000004</v>
      </c>
      <c r="G46" s="11">
        <v>4.4000000000000004</v>
      </c>
      <c r="H46">
        <f t="shared" si="0"/>
        <v>33.4</v>
      </c>
      <c r="K46" t="s">
        <v>119</v>
      </c>
      <c r="L46" s="11">
        <v>5.2</v>
      </c>
      <c r="M46" s="11">
        <v>5.2</v>
      </c>
      <c r="N46" s="11">
        <v>5.2</v>
      </c>
      <c r="O46" s="11">
        <v>5.2</v>
      </c>
      <c r="P46" s="11">
        <v>5.2</v>
      </c>
      <c r="Q46" s="11">
        <v>5.2</v>
      </c>
      <c r="R46">
        <f>AVERAGE(L46:Q46)</f>
        <v>5.2</v>
      </c>
    </row>
    <row r="47" spans="1:18" x14ac:dyDescent="0.25">
      <c r="A47" t="s">
        <v>64</v>
      </c>
      <c r="B47" s="11"/>
      <c r="C47" s="11">
        <v>10.9</v>
      </c>
      <c r="D47" s="11">
        <v>10.9</v>
      </c>
      <c r="E47" s="11"/>
      <c r="F47" s="11"/>
      <c r="G47" s="11"/>
      <c r="H47">
        <f t="shared" si="0"/>
        <v>21.8</v>
      </c>
      <c r="K47" t="s">
        <v>118</v>
      </c>
      <c r="L47" s="11">
        <v>5.3</v>
      </c>
      <c r="M47" s="11">
        <v>5.3</v>
      </c>
      <c r="N47" s="11">
        <v>5.3</v>
      </c>
      <c r="O47" s="11">
        <v>5.3</v>
      </c>
      <c r="P47" s="11">
        <v>5.3</v>
      </c>
      <c r="Q47" s="11"/>
      <c r="R47">
        <f>AVERAGE(L47:Q47)</f>
        <v>5.3</v>
      </c>
    </row>
    <row r="48" spans="1:18" x14ac:dyDescent="0.25">
      <c r="A48" t="s">
        <v>65</v>
      </c>
      <c r="B48" s="11"/>
      <c r="C48" s="11"/>
      <c r="D48" s="11"/>
      <c r="E48" s="11"/>
      <c r="F48" s="11"/>
      <c r="G48" s="11"/>
      <c r="H48">
        <f t="shared" si="0"/>
        <v>0</v>
      </c>
      <c r="K48" t="s">
        <v>60</v>
      </c>
      <c r="L48" s="11">
        <v>5.6</v>
      </c>
      <c r="M48" s="11">
        <v>5.6</v>
      </c>
      <c r="N48" s="11">
        <v>5.6</v>
      </c>
      <c r="O48" s="11">
        <v>5.6</v>
      </c>
      <c r="P48" s="11">
        <v>5.5</v>
      </c>
      <c r="Q48" s="11">
        <v>5.5</v>
      </c>
      <c r="R48">
        <f>AVERAGE(L48:Q48)</f>
        <v>5.5666666666666664</v>
      </c>
    </row>
    <row r="49" spans="1:18" x14ac:dyDescent="0.25">
      <c r="A49" t="s">
        <v>66</v>
      </c>
      <c r="B49" s="11"/>
      <c r="C49" s="11"/>
      <c r="D49" s="11">
        <v>10.7</v>
      </c>
      <c r="E49" s="11"/>
      <c r="F49" s="11"/>
      <c r="G49" s="11">
        <v>10.7</v>
      </c>
      <c r="H49">
        <f t="shared" si="0"/>
        <v>21.4</v>
      </c>
      <c r="K49" t="s">
        <v>82</v>
      </c>
      <c r="L49" s="11"/>
      <c r="M49" s="11"/>
      <c r="N49" s="11"/>
      <c r="O49" s="11">
        <v>5.6</v>
      </c>
      <c r="P49" s="11">
        <v>5.5</v>
      </c>
      <c r="Q49" s="11">
        <v>5.6</v>
      </c>
      <c r="R49">
        <f>AVERAGE(L49:Q49)</f>
        <v>5.5666666666666664</v>
      </c>
    </row>
    <row r="50" spans="1:18" x14ac:dyDescent="0.25">
      <c r="A50" t="s">
        <v>67</v>
      </c>
      <c r="B50" s="11">
        <v>7.6</v>
      </c>
      <c r="C50" s="11">
        <v>7.6</v>
      </c>
      <c r="D50" s="11"/>
      <c r="E50" s="11">
        <v>7.5</v>
      </c>
      <c r="F50" s="11">
        <v>7.6</v>
      </c>
      <c r="G50" s="11">
        <v>7.6</v>
      </c>
      <c r="H50">
        <f t="shared" si="0"/>
        <v>37.9</v>
      </c>
      <c r="K50" t="s">
        <v>133</v>
      </c>
      <c r="L50" s="11">
        <v>5.6</v>
      </c>
      <c r="M50" s="11">
        <v>5.6</v>
      </c>
      <c r="N50" s="11"/>
      <c r="O50" s="11">
        <v>5.6</v>
      </c>
      <c r="P50" s="11">
        <v>5.6</v>
      </c>
      <c r="Q50" s="11">
        <v>5.6</v>
      </c>
      <c r="R50">
        <f>AVERAGE(L50:Q50)</f>
        <v>5.6</v>
      </c>
    </row>
    <row r="51" spans="1:18" x14ac:dyDescent="0.25">
      <c r="A51" t="s">
        <v>68</v>
      </c>
      <c r="B51" s="11">
        <v>12.3</v>
      </c>
      <c r="C51" s="11">
        <v>12.3</v>
      </c>
      <c r="D51" s="11"/>
      <c r="E51" s="11">
        <v>11.2</v>
      </c>
      <c r="F51" s="11">
        <v>11.2</v>
      </c>
      <c r="G51" s="11">
        <v>11.1</v>
      </c>
      <c r="H51">
        <f t="shared" si="0"/>
        <v>58.1</v>
      </c>
      <c r="K51" t="s">
        <v>111</v>
      </c>
      <c r="L51" s="11"/>
      <c r="M51" s="11">
        <v>5.6</v>
      </c>
      <c r="N51" s="11">
        <v>5.7</v>
      </c>
      <c r="O51" s="11">
        <v>5.6</v>
      </c>
      <c r="P51" s="11">
        <v>5.6</v>
      </c>
      <c r="Q51" s="11">
        <v>5.6</v>
      </c>
      <c r="R51">
        <f>AVERAGE(L51:Q51)</f>
        <v>5.62</v>
      </c>
    </row>
    <row r="52" spans="1:18" x14ac:dyDescent="0.25">
      <c r="A52" t="s">
        <v>69</v>
      </c>
      <c r="B52" s="11">
        <v>19.100000000000001</v>
      </c>
      <c r="C52" s="11">
        <v>19</v>
      </c>
      <c r="D52" s="11"/>
      <c r="E52" s="11"/>
      <c r="F52" s="11"/>
      <c r="G52" s="11"/>
      <c r="H52">
        <f t="shared" si="0"/>
        <v>38.1</v>
      </c>
      <c r="K52" t="s">
        <v>128</v>
      </c>
      <c r="L52" s="11">
        <v>5.7</v>
      </c>
      <c r="M52" s="11">
        <v>5.7</v>
      </c>
      <c r="N52" s="11">
        <v>5.7</v>
      </c>
      <c r="O52" s="11">
        <v>5.7</v>
      </c>
      <c r="P52" s="11">
        <v>5.6</v>
      </c>
      <c r="Q52" s="11">
        <v>5.6</v>
      </c>
      <c r="R52">
        <f>AVERAGE(L52:Q52)</f>
        <v>5.666666666666667</v>
      </c>
    </row>
    <row r="53" spans="1:18" x14ac:dyDescent="0.25">
      <c r="A53" t="s">
        <v>70</v>
      </c>
      <c r="B53" s="11">
        <v>6</v>
      </c>
      <c r="C53" s="11">
        <v>6</v>
      </c>
      <c r="D53" s="11">
        <v>6</v>
      </c>
      <c r="E53" s="11">
        <v>6</v>
      </c>
      <c r="F53" s="11">
        <v>5.9</v>
      </c>
      <c r="G53" s="11">
        <v>5.7</v>
      </c>
      <c r="H53">
        <f t="shared" si="0"/>
        <v>35.6</v>
      </c>
      <c r="K53" t="s">
        <v>132</v>
      </c>
      <c r="L53" s="11">
        <v>6.6</v>
      </c>
      <c r="M53" s="11">
        <v>6</v>
      </c>
      <c r="N53" s="11">
        <v>5.9</v>
      </c>
      <c r="O53" s="11">
        <v>5.9</v>
      </c>
      <c r="P53" s="11">
        <v>5.2</v>
      </c>
      <c r="Q53" s="11">
        <v>4.5999999999999996</v>
      </c>
      <c r="R53">
        <f>AVERAGE(L53:Q53)</f>
        <v>5.6999999999999993</v>
      </c>
    </row>
    <row r="54" spans="1:18" x14ac:dyDescent="0.25">
      <c r="A54" t="s">
        <v>71</v>
      </c>
      <c r="B54" s="11"/>
      <c r="C54" s="11"/>
      <c r="D54" s="11"/>
      <c r="E54" s="11"/>
      <c r="F54" s="11"/>
      <c r="G54" s="11"/>
      <c r="H54">
        <f t="shared" si="0"/>
        <v>0</v>
      </c>
      <c r="K54" t="s">
        <v>163</v>
      </c>
      <c r="L54" s="11">
        <v>6.6</v>
      </c>
      <c r="M54" s="11">
        <v>6</v>
      </c>
      <c r="N54" s="11">
        <v>5.3</v>
      </c>
      <c r="O54" s="11">
        <v>5.6</v>
      </c>
      <c r="P54" s="11">
        <v>5.6</v>
      </c>
      <c r="Q54" s="11">
        <v>5.2</v>
      </c>
      <c r="R54">
        <f>AVERAGE(L54:Q54)</f>
        <v>5.7166666666666677</v>
      </c>
    </row>
    <row r="55" spans="1:18" x14ac:dyDescent="0.25">
      <c r="A55" t="s">
        <v>72</v>
      </c>
      <c r="B55" s="11"/>
      <c r="C55" s="11"/>
      <c r="D55" s="11"/>
      <c r="E55" s="11"/>
      <c r="F55" s="11"/>
      <c r="G55" s="11"/>
      <c r="H55">
        <f t="shared" si="0"/>
        <v>0</v>
      </c>
      <c r="K55" t="s">
        <v>87</v>
      </c>
      <c r="L55" s="11">
        <v>5.7</v>
      </c>
      <c r="M55" s="11">
        <v>5.7</v>
      </c>
      <c r="N55" s="11">
        <v>5.8</v>
      </c>
      <c r="O55" s="11">
        <v>5.8</v>
      </c>
      <c r="P55" s="11">
        <v>5.7</v>
      </c>
      <c r="Q55" s="11">
        <v>5.7</v>
      </c>
      <c r="R55">
        <f>AVERAGE(L55:Q55)</f>
        <v>5.7333333333333334</v>
      </c>
    </row>
    <row r="56" spans="1:18" x14ac:dyDescent="0.25">
      <c r="A56" t="s">
        <v>73</v>
      </c>
      <c r="B56" s="11">
        <v>7.7</v>
      </c>
      <c r="C56" s="11">
        <v>7.7</v>
      </c>
      <c r="D56" s="11">
        <v>7.7</v>
      </c>
      <c r="E56" s="11">
        <v>7.7</v>
      </c>
      <c r="F56" s="11">
        <v>7.6</v>
      </c>
      <c r="G56" s="11">
        <v>7.5</v>
      </c>
      <c r="H56">
        <f t="shared" si="0"/>
        <v>45.9</v>
      </c>
      <c r="K56" t="s">
        <v>56</v>
      </c>
      <c r="L56" s="11">
        <v>5.5</v>
      </c>
      <c r="M56" s="11">
        <v>5.4</v>
      </c>
      <c r="N56" s="11">
        <v>5.8</v>
      </c>
      <c r="O56" s="11">
        <v>5.8</v>
      </c>
      <c r="P56" s="11">
        <v>5.8</v>
      </c>
      <c r="Q56" s="11">
        <v>6.7</v>
      </c>
      <c r="R56">
        <f>AVERAGE(L56:Q56)</f>
        <v>5.833333333333333</v>
      </c>
    </row>
    <row r="57" spans="1:18" x14ac:dyDescent="0.25">
      <c r="A57" t="s">
        <v>74</v>
      </c>
      <c r="B57" s="11">
        <v>17.399999999999999</v>
      </c>
      <c r="C57" s="11"/>
      <c r="D57" s="11"/>
      <c r="E57" s="11">
        <v>17</v>
      </c>
      <c r="F57" s="11"/>
      <c r="G57" s="11"/>
      <c r="H57">
        <f t="shared" si="0"/>
        <v>34.4</v>
      </c>
      <c r="K57" t="s">
        <v>70</v>
      </c>
      <c r="L57" s="11">
        <v>6</v>
      </c>
      <c r="M57" s="11">
        <v>6</v>
      </c>
      <c r="N57" s="11">
        <v>6</v>
      </c>
      <c r="O57" s="11">
        <v>6</v>
      </c>
      <c r="P57" s="11">
        <v>5.9</v>
      </c>
      <c r="Q57" s="11">
        <v>5.7</v>
      </c>
      <c r="R57">
        <f>AVERAGE(L57:Q57)</f>
        <v>5.9333333333333336</v>
      </c>
    </row>
    <row r="58" spans="1:18" x14ac:dyDescent="0.25">
      <c r="A58" t="s">
        <v>75</v>
      </c>
      <c r="B58" s="11">
        <v>5.2</v>
      </c>
      <c r="C58" s="11">
        <v>5.0999999999999996</v>
      </c>
      <c r="D58" s="11">
        <v>5.0999999999999996</v>
      </c>
      <c r="E58" s="11">
        <v>5.2</v>
      </c>
      <c r="F58" s="11">
        <v>5.0999999999999996</v>
      </c>
      <c r="G58" s="11">
        <v>5</v>
      </c>
      <c r="H58">
        <f t="shared" si="0"/>
        <v>30.700000000000003</v>
      </c>
      <c r="K58" t="s">
        <v>150</v>
      </c>
      <c r="L58" s="11">
        <v>5.3</v>
      </c>
      <c r="M58" s="11"/>
      <c r="N58" s="11">
        <v>5.6</v>
      </c>
      <c r="O58" s="11">
        <v>6.3</v>
      </c>
      <c r="P58" s="11">
        <v>6.3</v>
      </c>
      <c r="Q58" s="11">
        <v>6.2</v>
      </c>
      <c r="R58">
        <f>AVERAGE(L58:Q58)</f>
        <v>5.9399999999999995</v>
      </c>
    </row>
    <row r="59" spans="1:18" x14ac:dyDescent="0.25">
      <c r="A59" t="s">
        <v>76</v>
      </c>
      <c r="B59" s="11">
        <v>11.1</v>
      </c>
      <c r="C59" s="11">
        <v>11.4</v>
      </c>
      <c r="D59" s="11"/>
      <c r="E59" s="11">
        <v>7.9</v>
      </c>
      <c r="F59" s="11">
        <v>7.4</v>
      </c>
      <c r="G59" s="11">
        <v>8.1999999999999993</v>
      </c>
      <c r="H59">
        <f t="shared" si="0"/>
        <v>46</v>
      </c>
      <c r="K59" t="s">
        <v>54</v>
      </c>
      <c r="L59" s="11">
        <v>6</v>
      </c>
      <c r="M59" s="11">
        <v>6</v>
      </c>
      <c r="N59" s="11">
        <v>6</v>
      </c>
      <c r="O59" s="11">
        <v>6</v>
      </c>
      <c r="P59" s="11">
        <v>6</v>
      </c>
      <c r="Q59" s="11">
        <v>6</v>
      </c>
      <c r="R59">
        <f>AVERAGE(L59:Q59)</f>
        <v>6</v>
      </c>
    </row>
    <row r="60" spans="1:18" x14ac:dyDescent="0.25">
      <c r="A60" t="s">
        <v>77</v>
      </c>
      <c r="B60" s="11"/>
      <c r="C60" s="11">
        <v>17.7</v>
      </c>
      <c r="D60" s="11"/>
      <c r="E60" s="11"/>
      <c r="F60" s="11">
        <v>18.100000000000001</v>
      </c>
      <c r="G60" s="11">
        <v>18.100000000000001</v>
      </c>
      <c r="H60">
        <f t="shared" si="0"/>
        <v>53.9</v>
      </c>
      <c r="K60" t="s">
        <v>97</v>
      </c>
      <c r="L60" s="11">
        <v>6.4</v>
      </c>
      <c r="M60" s="11">
        <v>6.1</v>
      </c>
      <c r="N60" s="11"/>
      <c r="O60" s="11">
        <v>5.7</v>
      </c>
      <c r="P60" s="11">
        <v>6.2</v>
      </c>
      <c r="Q60" s="11">
        <v>5.6</v>
      </c>
      <c r="R60">
        <f>AVERAGE(L60:Q60)</f>
        <v>6</v>
      </c>
    </row>
    <row r="61" spans="1:18" x14ac:dyDescent="0.25">
      <c r="A61" t="s">
        <v>79</v>
      </c>
      <c r="B61" s="11">
        <v>1.4</v>
      </c>
      <c r="C61" s="11">
        <v>1.4</v>
      </c>
      <c r="D61" s="11">
        <v>1.4</v>
      </c>
      <c r="E61" s="11">
        <v>1.4</v>
      </c>
      <c r="F61" s="11">
        <v>1.4</v>
      </c>
      <c r="G61" s="11">
        <v>1.5</v>
      </c>
      <c r="H61">
        <f t="shared" si="0"/>
        <v>8.5</v>
      </c>
      <c r="K61" t="s">
        <v>140</v>
      </c>
      <c r="L61" s="11">
        <v>6.2</v>
      </c>
      <c r="M61" s="11">
        <v>6.1</v>
      </c>
      <c r="N61" s="11">
        <v>6.1</v>
      </c>
      <c r="O61" s="11">
        <v>6.1</v>
      </c>
      <c r="P61" s="11">
        <v>6.1</v>
      </c>
      <c r="Q61" s="11">
        <v>6</v>
      </c>
      <c r="R61">
        <f>AVERAGE(L61:Q61)</f>
        <v>6.1000000000000005</v>
      </c>
    </row>
    <row r="62" spans="1:18" x14ac:dyDescent="0.25">
      <c r="A62" t="s">
        <v>80</v>
      </c>
      <c r="B62" s="11">
        <v>11.9</v>
      </c>
      <c r="C62" s="11">
        <v>12.1</v>
      </c>
      <c r="D62" s="11">
        <v>12.1</v>
      </c>
      <c r="E62" s="11">
        <v>12.1</v>
      </c>
      <c r="F62" s="11">
        <v>12</v>
      </c>
      <c r="G62" s="11">
        <v>12</v>
      </c>
      <c r="H62">
        <f t="shared" si="0"/>
        <v>72.2</v>
      </c>
      <c r="K62" t="s">
        <v>41</v>
      </c>
      <c r="L62" s="11">
        <v>6.3</v>
      </c>
      <c r="M62" s="11">
        <v>6.3</v>
      </c>
      <c r="N62" s="11"/>
      <c r="O62" s="11">
        <v>6.4</v>
      </c>
      <c r="P62" s="11">
        <v>6.2</v>
      </c>
      <c r="Q62" s="11">
        <v>6.2</v>
      </c>
      <c r="R62">
        <f>AVERAGE(L62:Q62)</f>
        <v>6.2799999999999994</v>
      </c>
    </row>
    <row r="63" spans="1:18" x14ac:dyDescent="0.25">
      <c r="A63" t="s">
        <v>81</v>
      </c>
      <c r="B63" s="11"/>
      <c r="C63" s="11">
        <v>11</v>
      </c>
      <c r="D63" s="11"/>
      <c r="E63" s="11"/>
      <c r="F63" s="11">
        <v>11</v>
      </c>
      <c r="G63" s="11">
        <v>11</v>
      </c>
      <c r="H63">
        <f t="shared" si="0"/>
        <v>33</v>
      </c>
      <c r="K63" t="s">
        <v>28</v>
      </c>
      <c r="L63" s="11">
        <v>6.5</v>
      </c>
      <c r="M63" s="11">
        <v>6.3</v>
      </c>
      <c r="N63" s="11"/>
      <c r="O63" s="11">
        <v>6.3</v>
      </c>
      <c r="P63" s="11">
        <v>6.3</v>
      </c>
      <c r="Q63" s="11">
        <v>6.3</v>
      </c>
      <c r="R63">
        <f>AVERAGE(L63:Q63)</f>
        <v>6.3400000000000007</v>
      </c>
    </row>
    <row r="64" spans="1:18" x14ac:dyDescent="0.25">
      <c r="A64" t="s">
        <v>82</v>
      </c>
      <c r="B64" s="11"/>
      <c r="C64" s="11"/>
      <c r="D64" s="11"/>
      <c r="E64" s="11">
        <v>5.6</v>
      </c>
      <c r="F64" s="11">
        <v>5.5</v>
      </c>
      <c r="G64" s="11">
        <v>5.6</v>
      </c>
      <c r="H64">
        <f t="shared" si="0"/>
        <v>16.7</v>
      </c>
      <c r="K64" t="s">
        <v>22</v>
      </c>
      <c r="L64" s="11">
        <v>6.5</v>
      </c>
      <c r="M64" s="11"/>
      <c r="N64" s="11"/>
      <c r="O64" s="11"/>
      <c r="P64" s="11"/>
      <c r="Q64" s="11"/>
      <c r="R64">
        <f>AVERAGE(L64:Q64)</f>
        <v>6.5</v>
      </c>
    </row>
    <row r="65" spans="1:18" x14ac:dyDescent="0.25">
      <c r="A65" t="s">
        <v>83</v>
      </c>
      <c r="B65" s="11">
        <v>12.1</v>
      </c>
      <c r="C65" s="11">
        <v>12.1</v>
      </c>
      <c r="D65" s="11">
        <v>12.1</v>
      </c>
      <c r="E65" s="11">
        <v>12.1</v>
      </c>
      <c r="F65" s="11">
        <v>12</v>
      </c>
      <c r="G65" s="11">
        <v>12</v>
      </c>
      <c r="H65">
        <f t="shared" si="0"/>
        <v>72.400000000000006</v>
      </c>
      <c r="K65" t="s">
        <v>102</v>
      </c>
      <c r="L65" s="11">
        <v>6.5</v>
      </c>
      <c r="M65" s="11">
        <v>6.6</v>
      </c>
      <c r="N65" s="11">
        <v>6.6</v>
      </c>
      <c r="O65" s="11">
        <v>6.5</v>
      </c>
      <c r="P65" s="11">
        <v>6.5</v>
      </c>
      <c r="Q65" s="11">
        <v>6.4</v>
      </c>
      <c r="R65">
        <f>AVERAGE(L65:Q65)</f>
        <v>6.5166666666666666</v>
      </c>
    </row>
    <row r="66" spans="1:18" x14ac:dyDescent="0.25">
      <c r="A66" t="s">
        <v>84</v>
      </c>
      <c r="B66" s="11">
        <v>12.2</v>
      </c>
      <c r="C66" s="11">
        <v>12.1</v>
      </c>
      <c r="D66" s="11">
        <v>12.1</v>
      </c>
      <c r="E66" s="11">
        <v>12.1</v>
      </c>
      <c r="F66" s="11">
        <v>12</v>
      </c>
      <c r="G66" s="11">
        <v>12</v>
      </c>
      <c r="H66">
        <f t="shared" si="0"/>
        <v>72.5</v>
      </c>
      <c r="K66" t="s">
        <v>165</v>
      </c>
      <c r="L66" s="11">
        <v>6.5</v>
      </c>
      <c r="M66" s="11">
        <v>6.6</v>
      </c>
      <c r="N66" s="11">
        <v>6.5</v>
      </c>
      <c r="O66" s="11">
        <v>6.6</v>
      </c>
      <c r="P66" s="11">
        <v>6.5</v>
      </c>
      <c r="Q66" s="11">
        <v>6.5</v>
      </c>
      <c r="R66">
        <f>AVERAGE(L66:Q66)</f>
        <v>6.5333333333333341</v>
      </c>
    </row>
    <row r="67" spans="1:18" x14ac:dyDescent="0.25">
      <c r="A67" t="s">
        <v>85</v>
      </c>
      <c r="B67" s="11">
        <v>10.9</v>
      </c>
      <c r="C67" s="11">
        <v>11.7</v>
      </c>
      <c r="D67" s="11"/>
      <c r="E67" s="11">
        <v>11.7</v>
      </c>
      <c r="F67" s="11">
        <v>11.7</v>
      </c>
      <c r="G67" s="11">
        <v>11.7</v>
      </c>
      <c r="H67">
        <f t="shared" si="0"/>
        <v>57.7</v>
      </c>
      <c r="K67" t="s">
        <v>131</v>
      </c>
      <c r="L67" s="11">
        <v>6.7</v>
      </c>
      <c r="M67" s="11">
        <v>6.7</v>
      </c>
      <c r="N67" s="11">
        <v>6.7</v>
      </c>
      <c r="O67" s="11">
        <v>6.7</v>
      </c>
      <c r="P67" s="11">
        <v>6.6</v>
      </c>
      <c r="Q67" s="11">
        <v>6.5</v>
      </c>
      <c r="R67">
        <f>AVERAGE(L67:Q67)</f>
        <v>6.6499999999999995</v>
      </c>
    </row>
    <row r="68" spans="1:18" x14ac:dyDescent="0.25">
      <c r="A68" t="s">
        <v>86</v>
      </c>
      <c r="B68" s="11"/>
      <c r="C68" s="11"/>
      <c r="D68" s="11">
        <v>4.9000000000000004</v>
      </c>
      <c r="E68" s="11"/>
      <c r="F68" s="11"/>
      <c r="G68" s="11">
        <v>4.9000000000000004</v>
      </c>
      <c r="H68">
        <f t="shared" si="0"/>
        <v>9.8000000000000007</v>
      </c>
      <c r="K68" t="s">
        <v>143</v>
      </c>
      <c r="L68" s="11">
        <v>6.8</v>
      </c>
      <c r="M68" s="11">
        <v>6.7</v>
      </c>
      <c r="N68" s="11">
        <v>6.6</v>
      </c>
      <c r="O68" s="11">
        <v>6.6</v>
      </c>
      <c r="P68" s="11">
        <v>6.6</v>
      </c>
      <c r="Q68" s="11">
        <v>6.6</v>
      </c>
      <c r="R68">
        <f>AVERAGE(L68:Q68)</f>
        <v>6.6500000000000012</v>
      </c>
    </row>
    <row r="69" spans="1:18" x14ac:dyDescent="0.25">
      <c r="A69" t="s">
        <v>87</v>
      </c>
      <c r="B69" s="11">
        <v>5.7</v>
      </c>
      <c r="C69" s="11">
        <v>5.7</v>
      </c>
      <c r="D69" s="11">
        <v>5.8</v>
      </c>
      <c r="E69" s="11">
        <v>5.8</v>
      </c>
      <c r="F69" s="11">
        <v>5.7</v>
      </c>
      <c r="G69" s="11">
        <v>5.7</v>
      </c>
      <c r="H69">
        <f t="shared" ref="H69:H132" si="1">SUM(B69:G69)</f>
        <v>34.4</v>
      </c>
      <c r="K69" t="s">
        <v>63</v>
      </c>
      <c r="L69" s="11"/>
      <c r="M69" s="11">
        <v>10.1</v>
      </c>
      <c r="N69" s="11">
        <v>10.1</v>
      </c>
      <c r="O69" s="11">
        <v>4.4000000000000004</v>
      </c>
      <c r="P69" s="11">
        <v>4.4000000000000004</v>
      </c>
      <c r="Q69" s="11">
        <v>4.4000000000000004</v>
      </c>
      <c r="R69">
        <f>AVERAGE(L69:Q69)</f>
        <v>6.68</v>
      </c>
    </row>
    <row r="70" spans="1:18" x14ac:dyDescent="0.25">
      <c r="A70" t="s">
        <v>88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>
        <f t="shared" si="1"/>
        <v>0</v>
      </c>
      <c r="K70" t="s">
        <v>35</v>
      </c>
      <c r="L70" s="11">
        <v>6.8</v>
      </c>
      <c r="M70" s="11">
        <v>6.8</v>
      </c>
      <c r="N70" s="11"/>
      <c r="O70" s="11">
        <v>6.7</v>
      </c>
      <c r="P70" s="11">
        <v>6.6</v>
      </c>
      <c r="Q70" s="11">
        <v>6.6</v>
      </c>
      <c r="R70">
        <f>AVERAGE(L70:Q70)</f>
        <v>6.7</v>
      </c>
    </row>
    <row r="71" spans="1:18" x14ac:dyDescent="0.25">
      <c r="A71" t="s">
        <v>89</v>
      </c>
      <c r="B71" s="11">
        <v>4.3</v>
      </c>
      <c r="C71" s="11">
        <v>3.1</v>
      </c>
      <c r="D71" s="11"/>
      <c r="E71" s="11">
        <v>3.1</v>
      </c>
      <c r="F71" s="11">
        <v>3.3</v>
      </c>
      <c r="G71" s="11">
        <v>3.3</v>
      </c>
      <c r="H71">
        <f t="shared" si="1"/>
        <v>17.100000000000001</v>
      </c>
      <c r="K71" t="s">
        <v>123</v>
      </c>
      <c r="L71" s="11">
        <v>6.5</v>
      </c>
      <c r="M71" s="11">
        <v>6.5</v>
      </c>
      <c r="N71" s="11">
        <v>6.5</v>
      </c>
      <c r="O71" s="11">
        <v>6.5</v>
      </c>
      <c r="P71" s="11">
        <v>7.6</v>
      </c>
      <c r="Q71" s="11">
        <v>7.6</v>
      </c>
      <c r="R71">
        <f>AVERAGE(L71:Q71)</f>
        <v>6.8666666666666671</v>
      </c>
    </row>
    <row r="72" spans="1:18" x14ac:dyDescent="0.25">
      <c r="A72" t="s">
        <v>90</v>
      </c>
      <c r="B72" s="11">
        <v>17.100000000000001</v>
      </c>
      <c r="C72" s="11">
        <v>17.600000000000001</v>
      </c>
      <c r="D72" s="11">
        <v>15</v>
      </c>
      <c r="E72" s="11">
        <v>18.3</v>
      </c>
      <c r="F72" s="11">
        <v>18.100000000000001</v>
      </c>
      <c r="G72" s="11">
        <v>17</v>
      </c>
      <c r="H72">
        <f t="shared" si="1"/>
        <v>103.1</v>
      </c>
      <c r="K72" t="s">
        <v>104</v>
      </c>
      <c r="L72" s="11">
        <v>5.7</v>
      </c>
      <c r="M72" s="11">
        <v>6</v>
      </c>
      <c r="N72" s="11">
        <v>6</v>
      </c>
      <c r="O72" s="11"/>
      <c r="P72" s="11">
        <v>6</v>
      </c>
      <c r="Q72" s="11">
        <v>10.8</v>
      </c>
      <c r="R72">
        <f>AVERAGE(L72:Q72)</f>
        <v>6.9</v>
      </c>
    </row>
    <row r="73" spans="1:18" x14ac:dyDescent="0.25">
      <c r="A73" t="s">
        <v>91</v>
      </c>
      <c r="B73" s="11">
        <v>8.1</v>
      </c>
      <c r="C73" s="11">
        <v>8.1</v>
      </c>
      <c r="D73" s="11"/>
      <c r="E73" s="11">
        <v>8.1</v>
      </c>
      <c r="F73" s="11">
        <v>8</v>
      </c>
      <c r="G73" s="11">
        <v>8</v>
      </c>
      <c r="H73">
        <f t="shared" si="1"/>
        <v>40.299999999999997</v>
      </c>
      <c r="K73" t="s">
        <v>116</v>
      </c>
      <c r="L73" s="11">
        <v>7</v>
      </c>
      <c r="M73" s="11">
        <v>7.1</v>
      </c>
      <c r="N73" s="11">
        <v>7.1</v>
      </c>
      <c r="O73" s="11">
        <v>7.1</v>
      </c>
      <c r="P73" s="11">
        <v>7.1</v>
      </c>
      <c r="Q73" s="11">
        <v>6.8</v>
      </c>
      <c r="R73">
        <f>AVERAGE(L73:Q73)</f>
        <v>7.0333333333333323</v>
      </c>
    </row>
    <row r="74" spans="1:18" x14ac:dyDescent="0.25">
      <c r="A74" t="s">
        <v>92</v>
      </c>
      <c r="B74" s="11"/>
      <c r="C74" s="11">
        <v>20.100000000000001</v>
      </c>
      <c r="D74" s="11">
        <v>20.100000000000001</v>
      </c>
      <c r="E74" s="11"/>
      <c r="F74" s="11"/>
      <c r="G74" s="11"/>
      <c r="H74">
        <f t="shared" si="1"/>
        <v>40.200000000000003</v>
      </c>
      <c r="K74" t="s">
        <v>152</v>
      </c>
      <c r="L74" s="11">
        <v>7.4</v>
      </c>
      <c r="M74" s="11">
        <v>7.4</v>
      </c>
      <c r="N74" s="11"/>
      <c r="O74" s="11">
        <v>7.4</v>
      </c>
      <c r="P74" s="11">
        <v>7.3</v>
      </c>
      <c r="Q74" s="11">
        <v>7.3</v>
      </c>
      <c r="R74">
        <f>AVERAGE(L74:Q74)</f>
        <v>7.3600000000000012</v>
      </c>
    </row>
    <row r="75" spans="1:18" x14ac:dyDescent="0.25">
      <c r="A75" t="s">
        <v>93</v>
      </c>
      <c r="B75" s="11"/>
      <c r="C75" s="11">
        <v>3.6</v>
      </c>
      <c r="D75" s="11">
        <v>3.5</v>
      </c>
      <c r="E75" s="11">
        <v>3.6</v>
      </c>
      <c r="F75" s="11">
        <v>3.4</v>
      </c>
      <c r="G75" s="11">
        <v>1.3</v>
      </c>
      <c r="H75">
        <f t="shared" si="1"/>
        <v>15.4</v>
      </c>
      <c r="K75" t="s">
        <v>182</v>
      </c>
      <c r="L75" s="11"/>
      <c r="M75" s="11"/>
      <c r="N75" s="11">
        <v>7.6</v>
      </c>
      <c r="O75" s="11">
        <v>7.3</v>
      </c>
      <c r="P75" s="11"/>
      <c r="Q75" s="11"/>
      <c r="R75">
        <f>AVERAGE(L75:Q75)</f>
        <v>7.4499999999999993</v>
      </c>
    </row>
    <row r="76" spans="1:18" x14ac:dyDescent="0.25">
      <c r="A76" t="s">
        <v>94</v>
      </c>
      <c r="B76" s="11"/>
      <c r="C76" s="11">
        <v>8.6</v>
      </c>
      <c r="D76" s="11"/>
      <c r="E76" s="11">
        <v>8.6</v>
      </c>
      <c r="F76" s="11"/>
      <c r="G76" s="11">
        <v>8.5</v>
      </c>
      <c r="H76">
        <f t="shared" si="1"/>
        <v>25.7</v>
      </c>
      <c r="K76" t="s">
        <v>67</v>
      </c>
      <c r="L76" s="11">
        <v>7.6</v>
      </c>
      <c r="M76" s="11">
        <v>7.6</v>
      </c>
      <c r="N76" s="11"/>
      <c r="O76" s="11">
        <v>7.5</v>
      </c>
      <c r="P76" s="11">
        <v>7.6</v>
      </c>
      <c r="Q76" s="11">
        <v>7.6</v>
      </c>
      <c r="R76">
        <f>AVERAGE(L76:Q76)</f>
        <v>7.58</v>
      </c>
    </row>
    <row r="77" spans="1:18" x14ac:dyDescent="0.25">
      <c r="A77" t="s">
        <v>95</v>
      </c>
      <c r="B77" s="11">
        <v>4.4000000000000004</v>
      </c>
      <c r="C77" s="11">
        <v>4.3</v>
      </c>
      <c r="D77" s="11">
        <v>4.4000000000000004</v>
      </c>
      <c r="E77" s="11">
        <v>4.2</v>
      </c>
      <c r="F77" s="11">
        <v>3.9</v>
      </c>
      <c r="G77" s="11">
        <v>3.7</v>
      </c>
      <c r="H77">
        <f t="shared" si="1"/>
        <v>24.9</v>
      </c>
      <c r="K77" t="s">
        <v>105</v>
      </c>
      <c r="L77" s="11">
        <v>7.7</v>
      </c>
      <c r="M77" s="11">
        <v>7.7</v>
      </c>
      <c r="N77" s="11">
        <v>7.7</v>
      </c>
      <c r="O77" s="11">
        <v>7.7</v>
      </c>
      <c r="P77" s="11">
        <v>7.5</v>
      </c>
      <c r="Q77" s="11">
        <v>7.5</v>
      </c>
      <c r="R77">
        <f>AVERAGE(L77:Q77)</f>
        <v>7.6333333333333329</v>
      </c>
    </row>
    <row r="78" spans="1:18" x14ac:dyDescent="0.25">
      <c r="A78" t="s">
        <v>96</v>
      </c>
      <c r="B78" s="11">
        <v>10.1</v>
      </c>
      <c r="C78" s="11">
        <v>10.1</v>
      </c>
      <c r="D78" s="11">
        <v>10.1</v>
      </c>
      <c r="E78" s="11"/>
      <c r="F78" s="11"/>
      <c r="G78" s="11">
        <v>4</v>
      </c>
      <c r="H78">
        <f t="shared" si="1"/>
        <v>34.299999999999997</v>
      </c>
      <c r="K78" t="s">
        <v>42</v>
      </c>
      <c r="L78" s="11">
        <v>7.7</v>
      </c>
      <c r="M78" s="11">
        <v>7.7</v>
      </c>
      <c r="N78" s="11">
        <v>7.7</v>
      </c>
      <c r="O78" s="11">
        <v>7.7</v>
      </c>
      <c r="P78" s="11">
        <v>7.6</v>
      </c>
      <c r="Q78" s="11">
        <v>7.5</v>
      </c>
      <c r="R78">
        <f>AVERAGE(L78:Q78)</f>
        <v>7.6499999999999995</v>
      </c>
    </row>
    <row r="79" spans="1:18" x14ac:dyDescent="0.25">
      <c r="A79" t="s">
        <v>97</v>
      </c>
      <c r="B79" s="11">
        <v>6.4</v>
      </c>
      <c r="C79" s="11">
        <v>6.1</v>
      </c>
      <c r="D79" s="11"/>
      <c r="E79" s="11">
        <v>5.7</v>
      </c>
      <c r="F79" s="11">
        <v>6.2</v>
      </c>
      <c r="G79" s="11">
        <v>5.6</v>
      </c>
      <c r="H79">
        <f t="shared" si="1"/>
        <v>30</v>
      </c>
      <c r="K79" t="s">
        <v>73</v>
      </c>
      <c r="L79" s="11">
        <v>7.7</v>
      </c>
      <c r="M79" s="11">
        <v>7.7</v>
      </c>
      <c r="N79" s="11">
        <v>7.7</v>
      </c>
      <c r="O79" s="11">
        <v>7.7</v>
      </c>
      <c r="P79" s="11">
        <v>7.6</v>
      </c>
      <c r="Q79" s="11">
        <v>7.5</v>
      </c>
      <c r="R79">
        <f>AVERAGE(L79:Q79)</f>
        <v>7.6499999999999995</v>
      </c>
    </row>
    <row r="80" spans="1:18" x14ac:dyDescent="0.25">
      <c r="A80" t="s">
        <v>98</v>
      </c>
      <c r="B80" s="11">
        <v>13.5</v>
      </c>
      <c r="C80" s="11">
        <v>13.4</v>
      </c>
      <c r="D80" s="11">
        <v>13.5</v>
      </c>
      <c r="E80" s="11">
        <v>13.2</v>
      </c>
      <c r="F80" s="11">
        <v>14.3</v>
      </c>
      <c r="G80" s="11">
        <v>13.8</v>
      </c>
      <c r="H80">
        <f t="shared" si="1"/>
        <v>81.699999999999989</v>
      </c>
      <c r="K80" t="s">
        <v>124</v>
      </c>
      <c r="L80" s="11">
        <v>7.7</v>
      </c>
      <c r="M80" s="11">
        <v>7.7</v>
      </c>
      <c r="N80" s="11">
        <v>7.7</v>
      </c>
      <c r="O80" s="11">
        <v>7.7</v>
      </c>
      <c r="P80" s="11">
        <v>7.6</v>
      </c>
      <c r="Q80" s="11">
        <v>7.5</v>
      </c>
      <c r="R80">
        <f>AVERAGE(L80:Q80)</f>
        <v>7.6499999999999995</v>
      </c>
    </row>
    <row r="81" spans="1:18" x14ac:dyDescent="0.25">
      <c r="A81" t="s">
        <v>99</v>
      </c>
      <c r="B81" s="11"/>
      <c r="C81" s="11">
        <v>0</v>
      </c>
      <c r="D81" s="11"/>
      <c r="E81" s="11">
        <v>0</v>
      </c>
      <c r="F81" s="11">
        <v>0</v>
      </c>
      <c r="G81" s="11">
        <v>0</v>
      </c>
      <c r="H81">
        <f t="shared" si="1"/>
        <v>0</v>
      </c>
      <c r="K81" t="s">
        <v>158</v>
      </c>
      <c r="L81" s="11">
        <v>7.7</v>
      </c>
      <c r="M81" s="11">
        <v>7.7</v>
      </c>
      <c r="N81" s="11">
        <v>7.7</v>
      </c>
      <c r="O81" s="11">
        <v>7.8</v>
      </c>
      <c r="P81" s="11">
        <v>7.6</v>
      </c>
      <c r="Q81" s="11">
        <v>7.6</v>
      </c>
      <c r="R81">
        <f>AVERAGE(L81:Q81)</f>
        <v>7.6833333333333336</v>
      </c>
    </row>
    <row r="82" spans="1:18" x14ac:dyDescent="0.25">
      <c r="A82" t="s">
        <v>100</v>
      </c>
      <c r="B82" s="11">
        <v>13.7</v>
      </c>
      <c r="C82" s="11">
        <v>13.6</v>
      </c>
      <c r="D82" s="11">
        <v>13.6</v>
      </c>
      <c r="E82" s="11">
        <v>13.6</v>
      </c>
      <c r="F82" s="11">
        <v>13.4</v>
      </c>
      <c r="G82" s="11">
        <v>13.4</v>
      </c>
      <c r="H82">
        <f t="shared" si="1"/>
        <v>81.300000000000011</v>
      </c>
      <c r="K82" t="s">
        <v>160</v>
      </c>
      <c r="L82" s="11">
        <v>9.3000000000000007</v>
      </c>
      <c r="M82" s="11">
        <v>9.3000000000000007</v>
      </c>
      <c r="N82" s="11"/>
      <c r="O82" s="11">
        <v>6</v>
      </c>
      <c r="P82" s="11">
        <v>5.9</v>
      </c>
      <c r="Q82" s="11">
        <v>8.4</v>
      </c>
      <c r="R82">
        <f>AVERAGE(L82:Q82)</f>
        <v>7.7799999999999994</v>
      </c>
    </row>
    <row r="83" spans="1:18" x14ac:dyDescent="0.25">
      <c r="A83" t="s">
        <v>101</v>
      </c>
      <c r="B83" s="11">
        <v>4.7</v>
      </c>
      <c r="C83" s="11">
        <v>4.7</v>
      </c>
      <c r="D83" s="11"/>
      <c r="E83" s="11">
        <v>4.7</v>
      </c>
      <c r="F83" s="11">
        <v>4.7</v>
      </c>
      <c r="G83" s="11">
        <v>4.7</v>
      </c>
      <c r="H83">
        <f t="shared" si="1"/>
        <v>23.5</v>
      </c>
      <c r="K83" t="s">
        <v>55</v>
      </c>
      <c r="L83" s="11">
        <v>9.8000000000000007</v>
      </c>
      <c r="M83" s="11">
        <v>7.6</v>
      </c>
      <c r="N83" s="11">
        <v>7.5</v>
      </c>
      <c r="O83" s="11">
        <v>7.5</v>
      </c>
      <c r="P83" s="11">
        <v>7.5</v>
      </c>
      <c r="Q83" s="11">
        <v>7.5</v>
      </c>
      <c r="R83">
        <f>AVERAGE(L83:Q83)</f>
        <v>7.8999999999999995</v>
      </c>
    </row>
    <row r="84" spans="1:18" x14ac:dyDescent="0.25">
      <c r="A84" t="s">
        <v>102</v>
      </c>
      <c r="B84" s="11">
        <v>6.5</v>
      </c>
      <c r="C84" s="11">
        <v>6.6</v>
      </c>
      <c r="D84" s="11">
        <v>6.6</v>
      </c>
      <c r="E84" s="11">
        <v>6.5</v>
      </c>
      <c r="F84" s="11">
        <v>6.5</v>
      </c>
      <c r="G84" s="11">
        <v>6.4</v>
      </c>
      <c r="H84">
        <f t="shared" si="1"/>
        <v>39.1</v>
      </c>
      <c r="K84" t="s">
        <v>166</v>
      </c>
      <c r="L84" s="11"/>
      <c r="M84" s="11"/>
      <c r="N84" s="11"/>
      <c r="O84" s="11">
        <v>8</v>
      </c>
      <c r="P84" s="11"/>
      <c r="Q84" s="11"/>
      <c r="R84">
        <f>AVERAGE(L84:Q84)</f>
        <v>8</v>
      </c>
    </row>
    <row r="85" spans="1:18" x14ac:dyDescent="0.25">
      <c r="A85" t="s">
        <v>103</v>
      </c>
      <c r="B85" s="11">
        <v>8.5</v>
      </c>
      <c r="C85" s="11">
        <v>8.6</v>
      </c>
      <c r="D85" s="11"/>
      <c r="E85" s="11">
        <v>8.6</v>
      </c>
      <c r="F85" s="11">
        <v>8.6</v>
      </c>
      <c r="G85" s="11">
        <v>8.6</v>
      </c>
      <c r="H85">
        <f t="shared" si="1"/>
        <v>42.900000000000006</v>
      </c>
      <c r="K85" t="s">
        <v>91</v>
      </c>
      <c r="L85" s="11">
        <v>8.1</v>
      </c>
      <c r="M85" s="11">
        <v>8.1</v>
      </c>
      <c r="N85" s="11"/>
      <c r="O85" s="11">
        <v>8.1</v>
      </c>
      <c r="P85" s="11">
        <v>8</v>
      </c>
      <c r="Q85" s="11">
        <v>8</v>
      </c>
      <c r="R85">
        <f>AVERAGE(L85:Q85)</f>
        <v>8.0599999999999987</v>
      </c>
    </row>
    <row r="86" spans="1:18" x14ac:dyDescent="0.25">
      <c r="A86" t="s">
        <v>104</v>
      </c>
      <c r="B86" s="11">
        <v>5.7</v>
      </c>
      <c r="C86" s="11">
        <v>6</v>
      </c>
      <c r="D86" s="11">
        <v>6</v>
      </c>
      <c r="E86" s="11"/>
      <c r="F86" s="11">
        <v>6</v>
      </c>
      <c r="G86" s="11">
        <v>10.8</v>
      </c>
      <c r="H86">
        <f t="shared" si="1"/>
        <v>34.5</v>
      </c>
      <c r="K86" t="s">
        <v>172</v>
      </c>
      <c r="L86" s="11">
        <v>8.1</v>
      </c>
      <c r="M86" s="11"/>
      <c r="N86" s="11"/>
      <c r="O86" s="11">
        <v>8.3000000000000007</v>
      </c>
      <c r="P86" s="11">
        <v>8.3000000000000007</v>
      </c>
      <c r="Q86" s="11">
        <v>8.1999999999999993</v>
      </c>
      <c r="R86">
        <f>AVERAGE(L86:Q86)</f>
        <v>8.2249999999999996</v>
      </c>
    </row>
    <row r="87" spans="1:18" x14ac:dyDescent="0.25">
      <c r="A87" t="s">
        <v>105</v>
      </c>
      <c r="B87" s="11">
        <v>7.7</v>
      </c>
      <c r="C87" s="11">
        <v>7.7</v>
      </c>
      <c r="D87" s="11">
        <v>7.7</v>
      </c>
      <c r="E87" s="11">
        <v>7.7</v>
      </c>
      <c r="F87" s="11">
        <v>7.5</v>
      </c>
      <c r="G87" s="11">
        <v>7.5</v>
      </c>
      <c r="H87">
        <f t="shared" si="1"/>
        <v>45.8</v>
      </c>
      <c r="K87" t="s">
        <v>30</v>
      </c>
      <c r="L87" s="11"/>
      <c r="M87" s="11">
        <v>8.6999999999999993</v>
      </c>
      <c r="N87" s="11"/>
      <c r="O87" s="11">
        <v>8.5</v>
      </c>
      <c r="P87" s="11">
        <v>8.1999999999999993</v>
      </c>
      <c r="Q87" s="11">
        <v>8.1999999999999993</v>
      </c>
      <c r="R87">
        <f>AVERAGE(L87:Q87)</f>
        <v>8.3999999999999986</v>
      </c>
    </row>
    <row r="88" spans="1:18" x14ac:dyDescent="0.25">
      <c r="A88" t="s">
        <v>106</v>
      </c>
      <c r="B88" s="11">
        <v>9.6999999999999993</v>
      </c>
      <c r="C88" s="11">
        <v>12.1</v>
      </c>
      <c r="D88" s="11">
        <v>12.1</v>
      </c>
      <c r="E88" s="11">
        <v>12.1</v>
      </c>
      <c r="F88" s="11">
        <v>12</v>
      </c>
      <c r="G88" s="11">
        <v>12</v>
      </c>
      <c r="H88">
        <f t="shared" si="1"/>
        <v>70</v>
      </c>
      <c r="K88" t="s">
        <v>94</v>
      </c>
      <c r="L88" s="11"/>
      <c r="M88" s="11">
        <v>8.6</v>
      </c>
      <c r="N88" s="11"/>
      <c r="O88" s="11">
        <v>8.6</v>
      </c>
      <c r="P88" s="11"/>
      <c r="Q88" s="11">
        <v>8.5</v>
      </c>
      <c r="R88">
        <f>AVERAGE(L88:Q88)</f>
        <v>8.5666666666666664</v>
      </c>
    </row>
    <row r="89" spans="1:18" x14ac:dyDescent="0.25">
      <c r="A89" t="s">
        <v>107</v>
      </c>
      <c r="B89" s="11"/>
      <c r="C89" s="11"/>
      <c r="D89" s="11"/>
      <c r="E89" s="11">
        <v>5.2</v>
      </c>
      <c r="F89" s="11">
        <v>4.5</v>
      </c>
      <c r="G89" s="11">
        <v>4.5</v>
      </c>
      <c r="H89">
        <f t="shared" si="1"/>
        <v>14.2</v>
      </c>
      <c r="K89" t="s">
        <v>96</v>
      </c>
      <c r="L89" s="11">
        <v>10.1</v>
      </c>
      <c r="M89" s="11">
        <v>10.1</v>
      </c>
      <c r="N89" s="11">
        <v>10.1</v>
      </c>
      <c r="O89" s="11"/>
      <c r="P89" s="11"/>
      <c r="Q89" s="11">
        <v>4</v>
      </c>
      <c r="R89">
        <f>AVERAGE(L89:Q89)</f>
        <v>8.5749999999999993</v>
      </c>
    </row>
    <row r="90" spans="1:18" x14ac:dyDescent="0.25">
      <c r="A90" t="s">
        <v>108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>
        <f t="shared" si="1"/>
        <v>0</v>
      </c>
      <c r="K90" t="s">
        <v>103</v>
      </c>
      <c r="L90" s="11">
        <v>8.5</v>
      </c>
      <c r="M90" s="11">
        <v>8.6</v>
      </c>
      <c r="N90" s="11"/>
      <c r="O90" s="11">
        <v>8.6</v>
      </c>
      <c r="P90" s="11">
        <v>8.6</v>
      </c>
      <c r="Q90" s="11">
        <v>8.6</v>
      </c>
      <c r="R90">
        <f>AVERAGE(L90:Q90)</f>
        <v>8.5800000000000018</v>
      </c>
    </row>
    <row r="91" spans="1:18" x14ac:dyDescent="0.25">
      <c r="A91" t="s">
        <v>109</v>
      </c>
      <c r="B91" s="11">
        <v>11.6</v>
      </c>
      <c r="C91" s="11">
        <v>11.6</v>
      </c>
      <c r="D91" s="11"/>
      <c r="E91" s="11">
        <v>11.7</v>
      </c>
      <c r="F91" s="11">
        <v>11.8</v>
      </c>
      <c r="G91" s="11">
        <v>12</v>
      </c>
      <c r="H91">
        <f t="shared" si="1"/>
        <v>58.7</v>
      </c>
      <c r="K91" t="s">
        <v>145</v>
      </c>
      <c r="L91" s="11">
        <v>9.1</v>
      </c>
      <c r="M91" s="11">
        <v>9.1</v>
      </c>
      <c r="N91" s="11">
        <v>9.1999999999999993</v>
      </c>
      <c r="O91" s="11"/>
      <c r="P91" s="11"/>
      <c r="Q91" s="11"/>
      <c r="R91">
        <f>AVERAGE(L91:Q91)</f>
        <v>9.1333333333333329</v>
      </c>
    </row>
    <row r="92" spans="1:18" x14ac:dyDescent="0.25">
      <c r="A92" t="s">
        <v>110</v>
      </c>
      <c r="B92" s="11"/>
      <c r="C92" s="11">
        <v>12.2</v>
      </c>
      <c r="D92" s="11"/>
      <c r="E92" s="11">
        <v>12.2</v>
      </c>
      <c r="F92" s="11">
        <v>12.2</v>
      </c>
      <c r="G92" s="11">
        <v>12.2</v>
      </c>
      <c r="H92">
        <f t="shared" si="1"/>
        <v>48.8</v>
      </c>
      <c r="K92" t="s">
        <v>183</v>
      </c>
      <c r="L92" s="11">
        <v>9.1999999999999993</v>
      </c>
      <c r="M92" s="11"/>
      <c r="N92" s="11">
        <v>9.1999999999999993</v>
      </c>
      <c r="O92" s="11">
        <v>9.1999999999999993</v>
      </c>
      <c r="P92" s="11">
        <v>9.1999999999999993</v>
      </c>
      <c r="Q92" s="11">
        <v>9</v>
      </c>
      <c r="R92">
        <f>AVERAGE(L92:Q92)</f>
        <v>9.16</v>
      </c>
    </row>
    <row r="93" spans="1:18" x14ac:dyDescent="0.25">
      <c r="A93" t="s">
        <v>111</v>
      </c>
      <c r="B93" s="11"/>
      <c r="C93" s="11">
        <v>5.6</v>
      </c>
      <c r="D93" s="11">
        <v>5.7</v>
      </c>
      <c r="E93" s="11">
        <v>5.6</v>
      </c>
      <c r="F93" s="11">
        <v>5.6</v>
      </c>
      <c r="G93" s="11">
        <v>5.6</v>
      </c>
      <c r="H93">
        <f t="shared" si="1"/>
        <v>28.1</v>
      </c>
      <c r="K93" t="s">
        <v>146</v>
      </c>
      <c r="L93" s="11"/>
      <c r="M93" s="11">
        <v>9.1</v>
      </c>
      <c r="N93" s="11">
        <v>9.1999999999999993</v>
      </c>
      <c r="O93" s="11">
        <v>9.1999999999999993</v>
      </c>
      <c r="P93" s="11"/>
      <c r="Q93" s="11"/>
      <c r="R93">
        <f>AVERAGE(L93:Q93)</f>
        <v>9.1666666666666661</v>
      </c>
    </row>
    <row r="94" spans="1:18" x14ac:dyDescent="0.25">
      <c r="A94" t="s">
        <v>112</v>
      </c>
      <c r="B94" s="11">
        <v>13</v>
      </c>
      <c r="C94" s="11">
        <v>12.9</v>
      </c>
      <c r="D94" s="11"/>
      <c r="E94" s="11">
        <v>11.4</v>
      </c>
      <c r="F94" s="11">
        <v>11.7</v>
      </c>
      <c r="G94" s="11">
        <v>11.6</v>
      </c>
      <c r="H94">
        <f t="shared" si="1"/>
        <v>60.6</v>
      </c>
      <c r="K94" t="s">
        <v>76</v>
      </c>
      <c r="L94" s="11">
        <v>11.1</v>
      </c>
      <c r="M94" s="11">
        <v>11.4</v>
      </c>
      <c r="N94" s="11"/>
      <c r="O94" s="11">
        <v>7.9</v>
      </c>
      <c r="P94" s="11">
        <v>7.4</v>
      </c>
      <c r="Q94" s="11">
        <v>8.1999999999999993</v>
      </c>
      <c r="R94">
        <f>AVERAGE(L94:Q94)</f>
        <v>9.1999999999999993</v>
      </c>
    </row>
    <row r="95" spans="1:18" x14ac:dyDescent="0.25">
      <c r="A95" t="s">
        <v>113</v>
      </c>
      <c r="B95" s="11">
        <v>12.1</v>
      </c>
      <c r="C95" s="11">
        <v>12.1</v>
      </c>
      <c r="D95" s="11">
        <v>12.1</v>
      </c>
      <c r="E95" s="11">
        <v>12.1</v>
      </c>
      <c r="F95" s="11">
        <v>12</v>
      </c>
      <c r="G95" s="11">
        <v>12</v>
      </c>
      <c r="H95">
        <f t="shared" si="1"/>
        <v>72.400000000000006</v>
      </c>
      <c r="K95" t="s">
        <v>138</v>
      </c>
      <c r="L95" s="11">
        <v>9.8000000000000007</v>
      </c>
      <c r="M95" s="11">
        <v>9.8000000000000007</v>
      </c>
      <c r="N95" s="11">
        <v>9.6</v>
      </c>
      <c r="O95" s="11">
        <v>9.6</v>
      </c>
      <c r="P95" s="11"/>
      <c r="Q95" s="11">
        <v>8.6</v>
      </c>
      <c r="R95">
        <f>AVERAGE(L95:Q95)</f>
        <v>9.48</v>
      </c>
    </row>
    <row r="96" spans="1:18" x14ac:dyDescent="0.25">
      <c r="A96" t="s">
        <v>114</v>
      </c>
      <c r="B96" s="11">
        <v>12.1</v>
      </c>
      <c r="C96" s="11">
        <v>12.1</v>
      </c>
      <c r="D96" s="11"/>
      <c r="E96" s="11">
        <v>12</v>
      </c>
      <c r="F96" s="11"/>
      <c r="G96" s="11">
        <v>12</v>
      </c>
      <c r="H96">
        <f t="shared" si="1"/>
        <v>48.2</v>
      </c>
      <c r="K96" t="s">
        <v>185</v>
      </c>
      <c r="L96" s="11">
        <v>9.5</v>
      </c>
      <c r="M96" s="11">
        <v>9.6</v>
      </c>
      <c r="N96" s="11">
        <v>9.5</v>
      </c>
      <c r="O96" s="11">
        <v>9.6</v>
      </c>
      <c r="P96" s="11">
        <v>9.6</v>
      </c>
      <c r="Q96" s="11">
        <v>9.4</v>
      </c>
      <c r="R96">
        <f>AVERAGE(L96:Q96)</f>
        <v>9.5333333333333332</v>
      </c>
    </row>
    <row r="97" spans="1:18" x14ac:dyDescent="0.25">
      <c r="A97" t="s">
        <v>115</v>
      </c>
      <c r="B97" s="11">
        <v>0.8</v>
      </c>
      <c r="C97" s="11">
        <v>0.8</v>
      </c>
      <c r="D97" s="11">
        <v>0.8</v>
      </c>
      <c r="E97" s="11">
        <v>0.8</v>
      </c>
      <c r="F97" s="11">
        <v>0.8</v>
      </c>
      <c r="G97" s="11">
        <v>0.8</v>
      </c>
      <c r="H97">
        <f t="shared" si="1"/>
        <v>4.8</v>
      </c>
      <c r="K97" t="s">
        <v>156</v>
      </c>
      <c r="L97" s="11">
        <v>9.8000000000000007</v>
      </c>
      <c r="M97" s="11">
        <v>9.6</v>
      </c>
      <c r="N97" s="11"/>
      <c r="O97" s="11">
        <v>9.9</v>
      </c>
      <c r="P97" s="11">
        <v>9.6</v>
      </c>
      <c r="Q97" s="11"/>
      <c r="R97">
        <f>AVERAGE(L97:Q97)</f>
        <v>9.7249999999999996</v>
      </c>
    </row>
    <row r="98" spans="1:18" x14ac:dyDescent="0.25">
      <c r="A98" t="s">
        <v>116</v>
      </c>
      <c r="B98" s="11">
        <v>7</v>
      </c>
      <c r="C98" s="11">
        <v>7.1</v>
      </c>
      <c r="D98" s="11">
        <v>7.1</v>
      </c>
      <c r="E98" s="11">
        <v>7.1</v>
      </c>
      <c r="F98" s="11">
        <v>7.1</v>
      </c>
      <c r="G98" s="11">
        <v>6.8</v>
      </c>
      <c r="H98">
        <f t="shared" si="1"/>
        <v>42.199999999999996</v>
      </c>
      <c r="K98" t="s">
        <v>26</v>
      </c>
      <c r="L98" s="11">
        <v>9.9</v>
      </c>
      <c r="M98" s="11">
        <v>9.9</v>
      </c>
      <c r="N98" s="11"/>
      <c r="O98" s="11">
        <v>9.9</v>
      </c>
      <c r="P98" s="11">
        <v>9.9</v>
      </c>
      <c r="Q98" s="11"/>
      <c r="R98">
        <f>AVERAGE(L98:Q98)</f>
        <v>9.9</v>
      </c>
    </row>
    <row r="99" spans="1:18" x14ac:dyDescent="0.25">
      <c r="A99" t="s">
        <v>117</v>
      </c>
      <c r="B99" s="11"/>
      <c r="C99" s="11">
        <v>5.0999999999999996</v>
      </c>
      <c r="D99" s="11"/>
      <c r="E99" s="11">
        <v>5.0999999999999996</v>
      </c>
      <c r="F99" s="11">
        <v>5.0999999999999996</v>
      </c>
      <c r="G99" s="11">
        <v>5</v>
      </c>
      <c r="H99">
        <f t="shared" si="1"/>
        <v>20.299999999999997</v>
      </c>
      <c r="K99" t="s">
        <v>149</v>
      </c>
      <c r="L99" s="11">
        <v>9.9</v>
      </c>
      <c r="M99" s="11">
        <v>9.9</v>
      </c>
      <c r="N99" s="11"/>
      <c r="O99" s="11"/>
      <c r="P99" s="11"/>
      <c r="Q99" s="11"/>
      <c r="R99">
        <f>AVERAGE(L99:Q99)</f>
        <v>9.9</v>
      </c>
    </row>
    <row r="100" spans="1:18" x14ac:dyDescent="0.25">
      <c r="A100" t="s">
        <v>118</v>
      </c>
      <c r="B100" s="11">
        <v>5.3</v>
      </c>
      <c r="C100" s="11">
        <v>5.3</v>
      </c>
      <c r="D100" s="11">
        <v>5.3</v>
      </c>
      <c r="E100" s="11">
        <v>5.3</v>
      </c>
      <c r="F100" s="11">
        <v>5.3</v>
      </c>
      <c r="G100" s="11"/>
      <c r="H100">
        <f t="shared" si="1"/>
        <v>26.5</v>
      </c>
      <c r="K100" t="s">
        <v>49</v>
      </c>
      <c r="L100" s="11"/>
      <c r="M100" s="11"/>
      <c r="N100" s="11">
        <v>10.3</v>
      </c>
      <c r="O100" s="11">
        <v>10.199999999999999</v>
      </c>
      <c r="P100" s="11">
        <v>10.199999999999999</v>
      </c>
      <c r="Q100" s="11">
        <v>9.4</v>
      </c>
      <c r="R100">
        <f>AVERAGE(L100:Q100)</f>
        <v>10.025</v>
      </c>
    </row>
    <row r="101" spans="1:18" x14ac:dyDescent="0.25">
      <c r="A101" t="s">
        <v>119</v>
      </c>
      <c r="B101" s="11">
        <v>5.2</v>
      </c>
      <c r="C101" s="11">
        <v>5.2</v>
      </c>
      <c r="D101" s="11">
        <v>5.2</v>
      </c>
      <c r="E101" s="11">
        <v>5.2</v>
      </c>
      <c r="F101" s="11">
        <v>5.2</v>
      </c>
      <c r="G101" s="11">
        <v>5.2</v>
      </c>
      <c r="H101">
        <f t="shared" si="1"/>
        <v>31.2</v>
      </c>
      <c r="K101" t="s">
        <v>147</v>
      </c>
      <c r="L101" s="11">
        <v>10</v>
      </c>
      <c r="M101" s="11">
        <v>10</v>
      </c>
      <c r="N101" s="11">
        <v>10</v>
      </c>
      <c r="O101" s="11">
        <v>10</v>
      </c>
      <c r="P101" s="11"/>
      <c r="Q101" s="11">
        <v>10.8</v>
      </c>
      <c r="R101">
        <f>AVERAGE(L101:Q101)</f>
        <v>10.16</v>
      </c>
    </row>
    <row r="102" spans="1:18" x14ac:dyDescent="0.25">
      <c r="A102" t="s">
        <v>120</v>
      </c>
      <c r="B102" s="11">
        <v>3.7</v>
      </c>
      <c r="C102" s="11">
        <v>3.7</v>
      </c>
      <c r="D102" s="11">
        <v>3.7</v>
      </c>
      <c r="E102" s="11">
        <v>3.7</v>
      </c>
      <c r="F102" s="11">
        <v>3.7</v>
      </c>
      <c r="G102" s="11">
        <v>3.7</v>
      </c>
      <c r="H102">
        <f t="shared" si="1"/>
        <v>22.2</v>
      </c>
      <c r="K102" t="s">
        <v>159</v>
      </c>
      <c r="L102" s="11"/>
      <c r="M102" s="11"/>
      <c r="N102" s="11"/>
      <c r="O102" s="11"/>
      <c r="P102" s="11">
        <v>10.199999999999999</v>
      </c>
      <c r="Q102" s="11">
        <v>10.199999999999999</v>
      </c>
      <c r="R102">
        <f>AVERAGE(L102:Q102)</f>
        <v>10.199999999999999</v>
      </c>
    </row>
    <row r="103" spans="1:18" x14ac:dyDescent="0.25">
      <c r="A103" t="s">
        <v>121</v>
      </c>
      <c r="B103" s="11"/>
      <c r="C103" s="11">
        <v>11.4</v>
      </c>
      <c r="D103" s="11">
        <v>12.3</v>
      </c>
      <c r="E103" s="11">
        <v>14.2</v>
      </c>
      <c r="F103" s="11">
        <v>14</v>
      </c>
      <c r="G103" s="11">
        <v>14</v>
      </c>
      <c r="H103">
        <f t="shared" si="1"/>
        <v>65.900000000000006</v>
      </c>
      <c r="K103" t="s">
        <v>181</v>
      </c>
      <c r="L103" s="11">
        <v>10.3</v>
      </c>
      <c r="M103" s="11">
        <v>10.3</v>
      </c>
      <c r="N103" s="11">
        <v>10.3</v>
      </c>
      <c r="O103" s="11">
        <v>10.3</v>
      </c>
      <c r="P103" s="11">
        <v>10.1</v>
      </c>
      <c r="Q103" s="11">
        <v>10.1</v>
      </c>
      <c r="R103">
        <f>AVERAGE(L103:Q103)</f>
        <v>10.233333333333334</v>
      </c>
    </row>
    <row r="104" spans="1:18" x14ac:dyDescent="0.25">
      <c r="A104" t="s">
        <v>122</v>
      </c>
      <c r="B104" s="11">
        <v>10.3</v>
      </c>
      <c r="C104" s="11">
        <v>10.3</v>
      </c>
      <c r="D104" s="11"/>
      <c r="E104" s="11">
        <v>10.3</v>
      </c>
      <c r="F104" s="11">
        <v>10.3</v>
      </c>
      <c r="G104" s="11">
        <v>10.3</v>
      </c>
      <c r="H104">
        <f t="shared" si="1"/>
        <v>51.5</v>
      </c>
      <c r="K104" t="s">
        <v>168</v>
      </c>
      <c r="L104" s="11"/>
      <c r="M104" s="11">
        <v>10.199999999999999</v>
      </c>
      <c r="N104" s="11">
        <v>10.199999999999999</v>
      </c>
      <c r="O104" s="11">
        <v>11.5</v>
      </c>
      <c r="P104" s="11">
        <v>9.6999999999999993</v>
      </c>
      <c r="Q104" s="11">
        <v>9.8000000000000007</v>
      </c>
      <c r="R104">
        <f>AVERAGE(L104:Q104)</f>
        <v>10.279999999999998</v>
      </c>
    </row>
    <row r="105" spans="1:18" x14ac:dyDescent="0.25">
      <c r="A105" t="s">
        <v>123</v>
      </c>
      <c r="B105" s="11">
        <v>6.5</v>
      </c>
      <c r="C105" s="11">
        <v>6.5</v>
      </c>
      <c r="D105" s="11">
        <v>6.5</v>
      </c>
      <c r="E105" s="11">
        <v>6.5</v>
      </c>
      <c r="F105" s="11">
        <v>7.6</v>
      </c>
      <c r="G105" s="11">
        <v>7.6</v>
      </c>
      <c r="H105">
        <f t="shared" si="1"/>
        <v>41.2</v>
      </c>
      <c r="K105" t="s">
        <v>122</v>
      </c>
      <c r="L105" s="11">
        <v>10.3</v>
      </c>
      <c r="M105" s="11">
        <v>10.3</v>
      </c>
      <c r="N105" s="11"/>
      <c r="O105" s="11">
        <v>10.3</v>
      </c>
      <c r="P105" s="11">
        <v>10.3</v>
      </c>
      <c r="Q105" s="11">
        <v>10.3</v>
      </c>
      <c r="R105">
        <f>AVERAGE(L105:Q105)</f>
        <v>10.3</v>
      </c>
    </row>
    <row r="106" spans="1:18" x14ac:dyDescent="0.25">
      <c r="A106" t="s">
        <v>124</v>
      </c>
      <c r="B106" s="11">
        <v>7.7</v>
      </c>
      <c r="C106" s="11">
        <v>7.7</v>
      </c>
      <c r="D106" s="11">
        <v>7.7</v>
      </c>
      <c r="E106" s="11">
        <v>7.7</v>
      </c>
      <c r="F106" s="11">
        <v>7.6</v>
      </c>
      <c r="G106" s="11">
        <v>7.5</v>
      </c>
      <c r="H106">
        <f t="shared" si="1"/>
        <v>45.9</v>
      </c>
      <c r="K106" t="s">
        <v>162</v>
      </c>
      <c r="L106" s="11">
        <v>10.4</v>
      </c>
      <c r="M106" s="11">
        <v>10.4</v>
      </c>
      <c r="N106" s="11"/>
      <c r="O106" s="11">
        <v>10.4</v>
      </c>
      <c r="P106" s="11"/>
      <c r="Q106" s="11">
        <v>10.4</v>
      </c>
      <c r="R106">
        <f>AVERAGE(L106:Q106)</f>
        <v>10.4</v>
      </c>
    </row>
    <row r="107" spans="1:18" x14ac:dyDescent="0.25">
      <c r="A107" t="s">
        <v>125</v>
      </c>
      <c r="B107" s="11">
        <v>12.3</v>
      </c>
      <c r="C107" s="11">
        <v>12.7</v>
      </c>
      <c r="D107" s="11"/>
      <c r="E107" s="11">
        <v>12.9</v>
      </c>
      <c r="F107" s="11">
        <v>12.9</v>
      </c>
      <c r="G107" s="11">
        <v>12.6</v>
      </c>
      <c r="H107">
        <f t="shared" si="1"/>
        <v>63.4</v>
      </c>
      <c r="K107" t="s">
        <v>25</v>
      </c>
      <c r="L107" s="11">
        <v>9.1999999999999993</v>
      </c>
      <c r="M107" s="11">
        <v>10.199999999999999</v>
      </c>
      <c r="N107" s="11"/>
      <c r="O107" s="11">
        <v>10.9</v>
      </c>
      <c r="P107" s="11">
        <v>11</v>
      </c>
      <c r="Q107" s="11">
        <v>11</v>
      </c>
      <c r="R107">
        <f>AVERAGE(L107:Q107)</f>
        <v>10.459999999999999</v>
      </c>
    </row>
    <row r="108" spans="1:18" x14ac:dyDescent="0.25">
      <c r="A108" t="s">
        <v>126</v>
      </c>
      <c r="B108" s="11">
        <v>12.1</v>
      </c>
      <c r="C108" s="11">
        <v>12.2</v>
      </c>
      <c r="D108" s="11"/>
      <c r="E108" s="11">
        <v>12.7</v>
      </c>
      <c r="F108" s="11">
        <v>12.6</v>
      </c>
      <c r="G108" s="11">
        <v>12.7</v>
      </c>
      <c r="H108">
        <f t="shared" si="1"/>
        <v>62.3</v>
      </c>
      <c r="K108" t="s">
        <v>171</v>
      </c>
      <c r="L108" s="11"/>
      <c r="M108" s="11"/>
      <c r="N108" s="11"/>
      <c r="O108" s="11">
        <v>10.7</v>
      </c>
      <c r="P108" s="11">
        <v>10.7</v>
      </c>
      <c r="Q108" s="11">
        <v>10.7</v>
      </c>
      <c r="R108">
        <f>AVERAGE(L108:Q108)</f>
        <v>10.699999999999998</v>
      </c>
    </row>
    <row r="109" spans="1:18" x14ac:dyDescent="0.25">
      <c r="A109" t="s">
        <v>127</v>
      </c>
      <c r="B109" s="11">
        <v>2</v>
      </c>
      <c r="C109" s="11">
        <v>2</v>
      </c>
      <c r="D109" s="11">
        <v>1.9</v>
      </c>
      <c r="E109" s="11">
        <v>1.9</v>
      </c>
      <c r="F109" s="11">
        <v>1.9</v>
      </c>
      <c r="G109" s="11">
        <v>1.9</v>
      </c>
      <c r="H109">
        <f t="shared" si="1"/>
        <v>11.600000000000001</v>
      </c>
      <c r="K109" t="s">
        <v>66</v>
      </c>
      <c r="L109" s="11"/>
      <c r="M109" s="11"/>
      <c r="N109" s="11">
        <v>10.7</v>
      </c>
      <c r="O109" s="11"/>
      <c r="P109" s="11"/>
      <c r="Q109" s="11">
        <v>10.7</v>
      </c>
      <c r="R109">
        <f>AVERAGE(L109:Q109)</f>
        <v>10.7</v>
      </c>
    </row>
    <row r="110" spans="1:18" x14ac:dyDescent="0.25">
      <c r="A110" t="s">
        <v>128</v>
      </c>
      <c r="B110" s="11">
        <v>5.7</v>
      </c>
      <c r="C110" s="11">
        <v>5.7</v>
      </c>
      <c r="D110" s="11">
        <v>5.7</v>
      </c>
      <c r="E110" s="11">
        <v>5.7</v>
      </c>
      <c r="F110" s="11">
        <v>5.6</v>
      </c>
      <c r="G110" s="11">
        <v>5.6</v>
      </c>
      <c r="H110">
        <f t="shared" si="1"/>
        <v>34</v>
      </c>
      <c r="K110" t="s">
        <v>164</v>
      </c>
      <c r="L110" s="11"/>
      <c r="M110" s="11"/>
      <c r="N110" s="11">
        <v>10.8</v>
      </c>
      <c r="O110" s="11"/>
      <c r="P110" s="11"/>
      <c r="Q110" s="11"/>
      <c r="R110">
        <f>AVERAGE(L110:Q110)</f>
        <v>10.8</v>
      </c>
    </row>
    <row r="111" spans="1:18" x14ac:dyDescent="0.25">
      <c r="A111" t="s">
        <v>129</v>
      </c>
      <c r="B111" s="11">
        <v>12.2</v>
      </c>
      <c r="C111" s="11">
        <v>12.1</v>
      </c>
      <c r="D111" s="11">
        <v>12.1</v>
      </c>
      <c r="E111" s="11">
        <v>12.1</v>
      </c>
      <c r="F111" s="11">
        <v>12</v>
      </c>
      <c r="G111" s="11">
        <v>12</v>
      </c>
      <c r="H111">
        <f t="shared" si="1"/>
        <v>72.5</v>
      </c>
      <c r="K111" t="s">
        <v>48</v>
      </c>
      <c r="L111" s="11"/>
      <c r="M111" s="11">
        <v>10.199999999999999</v>
      </c>
      <c r="N111" s="11">
        <v>10.199999999999999</v>
      </c>
      <c r="O111" s="11">
        <v>10.199999999999999</v>
      </c>
      <c r="P111" s="11">
        <v>11.9</v>
      </c>
      <c r="Q111" s="11">
        <v>11.9</v>
      </c>
      <c r="R111">
        <f>AVERAGE(L111:Q111)</f>
        <v>10.879999999999999</v>
      </c>
    </row>
    <row r="112" spans="1:18" x14ac:dyDescent="0.25">
      <c r="A112" t="s">
        <v>130</v>
      </c>
      <c r="B112" s="11"/>
      <c r="C112" s="11">
        <v>12.1</v>
      </c>
      <c r="D112" s="11">
        <v>12.1</v>
      </c>
      <c r="E112" s="11">
        <v>12.1</v>
      </c>
      <c r="F112" s="11">
        <v>12</v>
      </c>
      <c r="G112" s="11">
        <v>12</v>
      </c>
      <c r="H112">
        <f t="shared" si="1"/>
        <v>60.3</v>
      </c>
      <c r="K112" t="s">
        <v>64</v>
      </c>
      <c r="L112" s="11"/>
      <c r="M112" s="11">
        <v>10.9</v>
      </c>
      <c r="N112" s="11">
        <v>10.9</v>
      </c>
      <c r="O112" s="11"/>
      <c r="P112" s="11"/>
      <c r="Q112" s="11"/>
      <c r="R112">
        <f>AVERAGE(L112:Q112)</f>
        <v>10.9</v>
      </c>
    </row>
    <row r="113" spans="1:18" x14ac:dyDescent="0.25">
      <c r="A113" t="s">
        <v>131</v>
      </c>
      <c r="B113" s="11">
        <v>6.7</v>
      </c>
      <c r="C113" s="11">
        <v>6.7</v>
      </c>
      <c r="D113" s="11">
        <v>6.7</v>
      </c>
      <c r="E113" s="11">
        <v>6.7</v>
      </c>
      <c r="F113" s="11">
        <v>6.6</v>
      </c>
      <c r="G113" s="11">
        <v>6.5</v>
      </c>
      <c r="H113">
        <f t="shared" si="1"/>
        <v>39.9</v>
      </c>
      <c r="K113" t="s">
        <v>81</v>
      </c>
      <c r="L113" s="11"/>
      <c r="M113" s="11">
        <v>11</v>
      </c>
      <c r="N113" s="11"/>
      <c r="O113" s="11"/>
      <c r="P113" s="11">
        <v>11</v>
      </c>
      <c r="Q113" s="11">
        <v>11</v>
      </c>
      <c r="R113">
        <f>AVERAGE(L113:Q113)</f>
        <v>11</v>
      </c>
    </row>
    <row r="114" spans="1:18" x14ac:dyDescent="0.25">
      <c r="A114" t="s">
        <v>132</v>
      </c>
      <c r="B114" s="11">
        <v>6.6</v>
      </c>
      <c r="C114" s="11">
        <v>6</v>
      </c>
      <c r="D114" s="11">
        <v>5.9</v>
      </c>
      <c r="E114" s="11">
        <v>5.9</v>
      </c>
      <c r="F114" s="11">
        <v>5.2</v>
      </c>
      <c r="G114" s="11">
        <v>4.5999999999999996</v>
      </c>
      <c r="H114">
        <f t="shared" si="1"/>
        <v>34.199999999999996</v>
      </c>
      <c r="K114" t="s">
        <v>134</v>
      </c>
      <c r="L114" s="11">
        <v>12.1</v>
      </c>
      <c r="M114" s="11">
        <v>12.1</v>
      </c>
      <c r="N114" s="11"/>
      <c r="O114" s="11">
        <v>11.2</v>
      </c>
      <c r="P114" s="11">
        <v>10.3</v>
      </c>
      <c r="Q114" s="11">
        <v>10.3</v>
      </c>
      <c r="R114">
        <f>AVERAGE(L114:Q114)</f>
        <v>11.2</v>
      </c>
    </row>
    <row r="115" spans="1:18" x14ac:dyDescent="0.25">
      <c r="A115" t="s">
        <v>133</v>
      </c>
      <c r="B115" s="11">
        <v>5.6</v>
      </c>
      <c r="C115" s="11">
        <v>5.6</v>
      </c>
      <c r="D115" s="11"/>
      <c r="E115" s="11">
        <v>5.6</v>
      </c>
      <c r="F115" s="11">
        <v>5.6</v>
      </c>
      <c r="G115" s="11">
        <v>5.6</v>
      </c>
      <c r="H115">
        <f t="shared" si="1"/>
        <v>28</v>
      </c>
      <c r="K115" t="s">
        <v>148</v>
      </c>
      <c r="L115" s="11">
        <v>11.4</v>
      </c>
      <c r="M115" s="11"/>
      <c r="N115" s="11"/>
      <c r="O115" s="11">
        <v>11.3</v>
      </c>
      <c r="P115" s="11"/>
      <c r="Q115" s="11"/>
      <c r="R115">
        <f>AVERAGE(L115:Q115)</f>
        <v>11.350000000000001</v>
      </c>
    </row>
    <row r="116" spans="1:18" x14ac:dyDescent="0.25">
      <c r="A116" t="s">
        <v>134</v>
      </c>
      <c r="B116" s="11">
        <v>12.1</v>
      </c>
      <c r="C116" s="11">
        <v>12.1</v>
      </c>
      <c r="D116" s="11"/>
      <c r="E116" s="11">
        <v>11.2</v>
      </c>
      <c r="F116" s="11">
        <v>10.3</v>
      </c>
      <c r="G116" s="11">
        <v>10.3</v>
      </c>
      <c r="H116">
        <f t="shared" si="1"/>
        <v>56</v>
      </c>
      <c r="K116" t="s">
        <v>85</v>
      </c>
      <c r="L116" s="11">
        <v>10.9</v>
      </c>
      <c r="M116" s="11">
        <v>11.7</v>
      </c>
      <c r="N116" s="11"/>
      <c r="O116" s="11">
        <v>11.7</v>
      </c>
      <c r="P116" s="11">
        <v>11.7</v>
      </c>
      <c r="Q116" s="11">
        <v>11.7</v>
      </c>
      <c r="R116">
        <f>AVERAGE(L116:Q116)</f>
        <v>11.540000000000001</v>
      </c>
    </row>
    <row r="117" spans="1:18" x14ac:dyDescent="0.25">
      <c r="A117" t="s">
        <v>135</v>
      </c>
      <c r="B117" s="11">
        <v>3.8</v>
      </c>
      <c r="C117" s="11">
        <v>3.8</v>
      </c>
      <c r="D117" s="11"/>
      <c r="E117" s="11">
        <v>4</v>
      </c>
      <c r="F117" s="11">
        <v>4</v>
      </c>
      <c r="G117" s="11"/>
      <c r="H117">
        <f t="shared" si="1"/>
        <v>15.6</v>
      </c>
      <c r="K117" t="s">
        <v>68</v>
      </c>
      <c r="L117" s="11">
        <v>12.3</v>
      </c>
      <c r="M117" s="11">
        <v>12.3</v>
      </c>
      <c r="N117" s="11"/>
      <c r="O117" s="11">
        <v>11.2</v>
      </c>
      <c r="P117" s="11">
        <v>11.2</v>
      </c>
      <c r="Q117" s="11">
        <v>11.1</v>
      </c>
      <c r="R117">
        <f>AVERAGE(L117:Q117)</f>
        <v>11.620000000000001</v>
      </c>
    </row>
    <row r="118" spans="1:18" x14ac:dyDescent="0.25">
      <c r="A118" t="s">
        <v>136</v>
      </c>
      <c r="B118" s="11">
        <v>5.0999999999999996</v>
      </c>
      <c r="C118" s="11">
        <v>5.0999999999999996</v>
      </c>
      <c r="D118" s="11">
        <v>5.0999999999999996</v>
      </c>
      <c r="E118" s="11">
        <v>5.0999999999999996</v>
      </c>
      <c r="F118" s="11">
        <v>5.0999999999999996</v>
      </c>
      <c r="G118" s="11">
        <v>5.0999999999999996</v>
      </c>
      <c r="H118">
        <f t="shared" si="1"/>
        <v>30.6</v>
      </c>
      <c r="K118" t="s">
        <v>106</v>
      </c>
      <c r="L118" s="11">
        <v>9.6999999999999993</v>
      </c>
      <c r="M118" s="11">
        <v>12.1</v>
      </c>
      <c r="N118" s="11">
        <v>12.1</v>
      </c>
      <c r="O118" s="11">
        <v>12.1</v>
      </c>
      <c r="P118" s="11">
        <v>12</v>
      </c>
      <c r="Q118" s="11">
        <v>12</v>
      </c>
      <c r="R118">
        <f>AVERAGE(L118:Q118)</f>
        <v>11.666666666666666</v>
      </c>
    </row>
    <row r="119" spans="1:18" x14ac:dyDescent="0.25">
      <c r="A119" t="s">
        <v>137</v>
      </c>
      <c r="B119" s="11">
        <v>4.3</v>
      </c>
      <c r="C119" s="11">
        <v>4</v>
      </c>
      <c r="D119" s="11"/>
      <c r="E119" s="11">
        <v>4.2</v>
      </c>
      <c r="F119" s="11">
        <v>4.0999999999999996</v>
      </c>
      <c r="G119" s="11">
        <v>4.2</v>
      </c>
      <c r="H119">
        <f t="shared" si="1"/>
        <v>20.8</v>
      </c>
      <c r="K119" t="s">
        <v>109</v>
      </c>
      <c r="L119" s="11">
        <v>11.6</v>
      </c>
      <c r="M119" s="11">
        <v>11.6</v>
      </c>
      <c r="N119" s="11"/>
      <c r="O119" s="11">
        <v>11.7</v>
      </c>
      <c r="P119" s="11">
        <v>11.8</v>
      </c>
      <c r="Q119" s="11">
        <v>12</v>
      </c>
      <c r="R119">
        <f>AVERAGE(L119:Q119)</f>
        <v>11.74</v>
      </c>
    </row>
    <row r="120" spans="1:18" x14ac:dyDescent="0.25">
      <c r="A120" t="s">
        <v>138</v>
      </c>
      <c r="B120" s="11">
        <v>9.8000000000000007</v>
      </c>
      <c r="C120" s="11">
        <v>9.8000000000000007</v>
      </c>
      <c r="D120" s="11">
        <v>9.6</v>
      </c>
      <c r="E120" s="11">
        <v>9.6</v>
      </c>
      <c r="F120" s="11"/>
      <c r="G120" s="11">
        <v>8.6</v>
      </c>
      <c r="H120">
        <f t="shared" si="1"/>
        <v>47.400000000000006</v>
      </c>
      <c r="K120" t="s">
        <v>40</v>
      </c>
      <c r="L120" s="11">
        <v>11.8</v>
      </c>
      <c r="M120" s="11">
        <v>11.8</v>
      </c>
      <c r="N120" s="11">
        <v>11.8</v>
      </c>
      <c r="O120" s="11">
        <v>11.8</v>
      </c>
      <c r="P120" s="11">
        <v>11.7</v>
      </c>
      <c r="Q120" s="11">
        <v>11.8</v>
      </c>
      <c r="R120">
        <f>AVERAGE(L120:Q120)</f>
        <v>11.783333333333333</v>
      </c>
    </row>
    <row r="121" spans="1:18" x14ac:dyDescent="0.25">
      <c r="A121" t="s">
        <v>139</v>
      </c>
      <c r="B121" s="11">
        <v>2.4</v>
      </c>
      <c r="C121" s="11">
        <v>2.4</v>
      </c>
      <c r="D121" s="11"/>
      <c r="E121" s="11">
        <v>2.4</v>
      </c>
      <c r="F121" s="11">
        <v>2.2999999999999998</v>
      </c>
      <c r="G121" s="11">
        <v>2.2999999999999998</v>
      </c>
      <c r="H121">
        <f t="shared" si="1"/>
        <v>11.8</v>
      </c>
      <c r="K121" t="s">
        <v>36</v>
      </c>
      <c r="L121" s="11">
        <v>11.9</v>
      </c>
      <c r="M121" s="11">
        <v>11.9</v>
      </c>
      <c r="N121" s="11"/>
      <c r="O121" s="11">
        <v>11.9</v>
      </c>
      <c r="P121" s="11"/>
      <c r="Q121" s="11">
        <v>11.9</v>
      </c>
      <c r="R121">
        <f>AVERAGE(L121:Q121)</f>
        <v>11.9</v>
      </c>
    </row>
    <row r="122" spans="1:18" x14ac:dyDescent="0.25">
      <c r="A122" t="s">
        <v>140</v>
      </c>
      <c r="B122" s="11">
        <v>6.2</v>
      </c>
      <c r="C122" s="11">
        <v>6.1</v>
      </c>
      <c r="D122" s="11">
        <v>6.1</v>
      </c>
      <c r="E122" s="11">
        <v>6.1</v>
      </c>
      <c r="F122" s="11">
        <v>6.1</v>
      </c>
      <c r="G122" s="11">
        <v>6</v>
      </c>
      <c r="H122">
        <f t="shared" si="1"/>
        <v>36.6</v>
      </c>
      <c r="K122" t="s">
        <v>80</v>
      </c>
      <c r="L122" s="11">
        <v>11.9</v>
      </c>
      <c r="M122" s="11">
        <v>12.1</v>
      </c>
      <c r="N122" s="11">
        <v>12.1</v>
      </c>
      <c r="O122" s="11">
        <v>12.1</v>
      </c>
      <c r="P122" s="11">
        <v>12</v>
      </c>
      <c r="Q122" s="11">
        <v>12</v>
      </c>
      <c r="R122">
        <f>AVERAGE(L122:Q122)</f>
        <v>12.033333333333333</v>
      </c>
    </row>
    <row r="123" spans="1:18" x14ac:dyDescent="0.25">
      <c r="A123" t="s">
        <v>141</v>
      </c>
      <c r="B123" s="11">
        <v>4.8</v>
      </c>
      <c r="C123" s="11">
        <v>4.8</v>
      </c>
      <c r="D123" s="11">
        <v>5.0999999999999996</v>
      </c>
      <c r="E123" s="11">
        <v>5.0999999999999996</v>
      </c>
      <c r="F123" s="11">
        <v>4.7</v>
      </c>
      <c r="G123" s="11">
        <v>4.7</v>
      </c>
      <c r="H123">
        <f t="shared" si="1"/>
        <v>29.199999999999996</v>
      </c>
      <c r="K123" t="s">
        <v>114</v>
      </c>
      <c r="L123" s="11">
        <v>12.1</v>
      </c>
      <c r="M123" s="11">
        <v>12.1</v>
      </c>
      <c r="N123" s="11"/>
      <c r="O123" s="11">
        <v>12</v>
      </c>
      <c r="P123" s="11"/>
      <c r="Q123" s="11">
        <v>12</v>
      </c>
      <c r="R123">
        <f>AVERAGE(L123:Q123)</f>
        <v>12.05</v>
      </c>
    </row>
    <row r="124" spans="1:18" x14ac:dyDescent="0.25">
      <c r="A124" t="s">
        <v>142</v>
      </c>
      <c r="B124" s="11"/>
      <c r="C124" s="11"/>
      <c r="D124" s="11"/>
      <c r="E124" s="11"/>
      <c r="F124" s="11"/>
      <c r="G124" s="11"/>
      <c r="H124">
        <f t="shared" si="1"/>
        <v>0</v>
      </c>
      <c r="K124" t="s">
        <v>130</v>
      </c>
      <c r="L124" s="11"/>
      <c r="M124" s="11">
        <v>12.1</v>
      </c>
      <c r="N124" s="11">
        <v>12.1</v>
      </c>
      <c r="O124" s="11">
        <v>12.1</v>
      </c>
      <c r="P124" s="11">
        <v>12</v>
      </c>
      <c r="Q124" s="11">
        <v>12</v>
      </c>
      <c r="R124">
        <f>AVERAGE(L124:Q124)</f>
        <v>12.059999999999999</v>
      </c>
    </row>
    <row r="125" spans="1:18" x14ac:dyDescent="0.25">
      <c r="A125" t="s">
        <v>143</v>
      </c>
      <c r="B125" s="11">
        <v>6.8</v>
      </c>
      <c r="C125" s="11">
        <v>6.7</v>
      </c>
      <c r="D125" s="11">
        <v>6.6</v>
      </c>
      <c r="E125" s="11">
        <v>6.6</v>
      </c>
      <c r="F125" s="11">
        <v>6.6</v>
      </c>
      <c r="G125" s="11">
        <v>6.6</v>
      </c>
      <c r="H125">
        <f t="shared" si="1"/>
        <v>39.900000000000006</v>
      </c>
      <c r="K125" t="s">
        <v>154</v>
      </c>
      <c r="L125" s="11"/>
      <c r="M125" s="11">
        <v>12.1</v>
      </c>
      <c r="N125" s="11">
        <v>12.1</v>
      </c>
      <c r="O125" s="11">
        <v>12.1</v>
      </c>
      <c r="P125" s="11">
        <v>12</v>
      </c>
      <c r="Q125" s="11">
        <v>12</v>
      </c>
      <c r="R125">
        <f>AVERAGE(L125:Q125)</f>
        <v>12.059999999999999</v>
      </c>
    </row>
    <row r="126" spans="1:18" x14ac:dyDescent="0.25">
      <c r="A126" t="s">
        <v>144</v>
      </c>
      <c r="B126" s="11">
        <v>11.3</v>
      </c>
      <c r="C126" s="11">
        <v>11.3</v>
      </c>
      <c r="D126" s="11">
        <v>12.5</v>
      </c>
      <c r="E126" s="11">
        <v>12.4</v>
      </c>
      <c r="F126" s="11">
        <v>13.2</v>
      </c>
      <c r="G126" s="11">
        <v>13.3</v>
      </c>
      <c r="H126">
        <f t="shared" si="1"/>
        <v>74</v>
      </c>
      <c r="K126" t="s">
        <v>83</v>
      </c>
      <c r="L126" s="11">
        <v>12.1</v>
      </c>
      <c r="M126" s="11">
        <v>12.1</v>
      </c>
      <c r="N126" s="11">
        <v>12.1</v>
      </c>
      <c r="O126" s="11">
        <v>12.1</v>
      </c>
      <c r="P126" s="11">
        <v>12</v>
      </c>
      <c r="Q126" s="11">
        <v>12</v>
      </c>
      <c r="R126">
        <f>AVERAGE(L126:Q126)</f>
        <v>12.066666666666668</v>
      </c>
    </row>
    <row r="127" spans="1:18" x14ac:dyDescent="0.25">
      <c r="A127" t="s">
        <v>145</v>
      </c>
      <c r="B127" s="11">
        <v>9.1</v>
      </c>
      <c r="C127" s="11">
        <v>9.1</v>
      </c>
      <c r="D127" s="11">
        <v>9.1999999999999993</v>
      </c>
      <c r="E127" s="11"/>
      <c r="F127" s="11"/>
      <c r="G127" s="11"/>
      <c r="H127">
        <f t="shared" si="1"/>
        <v>27.4</v>
      </c>
      <c r="K127" t="s">
        <v>113</v>
      </c>
      <c r="L127" s="11">
        <v>12.1</v>
      </c>
      <c r="M127" s="11">
        <v>12.1</v>
      </c>
      <c r="N127" s="11">
        <v>12.1</v>
      </c>
      <c r="O127" s="11">
        <v>12.1</v>
      </c>
      <c r="P127" s="11">
        <v>12</v>
      </c>
      <c r="Q127" s="11">
        <v>12</v>
      </c>
      <c r="R127">
        <f>AVERAGE(L127:Q127)</f>
        <v>12.066666666666668</v>
      </c>
    </row>
    <row r="128" spans="1:18" x14ac:dyDescent="0.25">
      <c r="A128" t="s">
        <v>146</v>
      </c>
      <c r="B128" s="11"/>
      <c r="C128" s="11">
        <v>9.1</v>
      </c>
      <c r="D128" s="11">
        <v>9.1999999999999993</v>
      </c>
      <c r="E128" s="11">
        <v>9.1999999999999993</v>
      </c>
      <c r="F128" s="11"/>
      <c r="G128" s="11"/>
      <c r="H128">
        <f t="shared" si="1"/>
        <v>27.499999999999996</v>
      </c>
      <c r="K128" t="s">
        <v>37</v>
      </c>
      <c r="L128" s="11">
        <v>12.2</v>
      </c>
      <c r="M128" s="11">
        <v>12.1</v>
      </c>
      <c r="N128" s="11">
        <v>12.1</v>
      </c>
      <c r="O128" s="11">
        <v>12.1</v>
      </c>
      <c r="P128" s="11">
        <v>12</v>
      </c>
      <c r="Q128" s="11">
        <v>12</v>
      </c>
      <c r="R128">
        <f>AVERAGE(L128:Q128)</f>
        <v>12.083333333333334</v>
      </c>
    </row>
    <row r="129" spans="1:18" x14ac:dyDescent="0.25">
      <c r="A129" t="s">
        <v>147</v>
      </c>
      <c r="B129" s="11">
        <v>10</v>
      </c>
      <c r="C129" s="11">
        <v>10</v>
      </c>
      <c r="D129" s="11">
        <v>10</v>
      </c>
      <c r="E129" s="11">
        <v>10</v>
      </c>
      <c r="F129" s="11"/>
      <c r="G129" s="11">
        <v>10.8</v>
      </c>
      <c r="H129">
        <f t="shared" si="1"/>
        <v>50.8</v>
      </c>
      <c r="K129" t="s">
        <v>46</v>
      </c>
      <c r="L129" s="11">
        <v>12.2</v>
      </c>
      <c r="M129" s="11">
        <v>12.1</v>
      </c>
      <c r="N129" s="11">
        <v>12.1</v>
      </c>
      <c r="O129" s="11">
        <v>12.1</v>
      </c>
      <c r="P129" s="11">
        <v>12</v>
      </c>
      <c r="Q129" s="11">
        <v>12</v>
      </c>
      <c r="R129">
        <f>AVERAGE(L129:Q129)</f>
        <v>12.083333333333334</v>
      </c>
    </row>
    <row r="130" spans="1:18" x14ac:dyDescent="0.25">
      <c r="A130" t="s">
        <v>148</v>
      </c>
      <c r="B130" s="11">
        <v>11.4</v>
      </c>
      <c r="C130" s="11"/>
      <c r="D130" s="11"/>
      <c r="E130" s="11">
        <v>11.3</v>
      </c>
      <c r="F130" s="11"/>
      <c r="G130" s="11"/>
      <c r="H130">
        <f t="shared" si="1"/>
        <v>22.700000000000003</v>
      </c>
      <c r="K130" t="s">
        <v>84</v>
      </c>
      <c r="L130" s="11">
        <v>12.2</v>
      </c>
      <c r="M130" s="11">
        <v>12.1</v>
      </c>
      <c r="N130" s="11">
        <v>12.1</v>
      </c>
      <c r="O130" s="11">
        <v>12.1</v>
      </c>
      <c r="P130" s="11">
        <v>12</v>
      </c>
      <c r="Q130" s="11">
        <v>12</v>
      </c>
      <c r="R130">
        <f>AVERAGE(L130:Q130)</f>
        <v>12.083333333333334</v>
      </c>
    </row>
    <row r="131" spans="1:18" x14ac:dyDescent="0.25">
      <c r="A131" t="s">
        <v>149</v>
      </c>
      <c r="B131" s="11">
        <v>9.9</v>
      </c>
      <c r="C131" s="11">
        <v>9.9</v>
      </c>
      <c r="D131" s="11"/>
      <c r="E131" s="11"/>
      <c r="F131" s="11"/>
      <c r="G131" s="11"/>
      <c r="H131">
        <f t="shared" si="1"/>
        <v>19.8</v>
      </c>
      <c r="K131" t="s">
        <v>129</v>
      </c>
      <c r="L131" s="11">
        <v>12.2</v>
      </c>
      <c r="M131" s="11">
        <v>12.1</v>
      </c>
      <c r="N131" s="11">
        <v>12.1</v>
      </c>
      <c r="O131" s="11">
        <v>12.1</v>
      </c>
      <c r="P131" s="11">
        <v>12</v>
      </c>
      <c r="Q131" s="11">
        <v>12</v>
      </c>
      <c r="R131">
        <f>AVERAGE(L131:Q131)</f>
        <v>12.083333333333334</v>
      </c>
    </row>
    <row r="132" spans="1:18" x14ac:dyDescent="0.25">
      <c r="A132" t="s">
        <v>150</v>
      </c>
      <c r="B132" s="11">
        <v>5.3</v>
      </c>
      <c r="C132" s="11"/>
      <c r="D132" s="11">
        <v>5.6</v>
      </c>
      <c r="E132" s="11">
        <v>6.3</v>
      </c>
      <c r="F132" s="11">
        <v>6.3</v>
      </c>
      <c r="G132" s="11">
        <v>6.2</v>
      </c>
      <c r="H132">
        <f t="shared" si="1"/>
        <v>29.7</v>
      </c>
      <c r="K132" t="s">
        <v>151</v>
      </c>
      <c r="L132" s="11">
        <v>12.2</v>
      </c>
      <c r="M132" s="11">
        <v>12.1</v>
      </c>
      <c r="N132" s="11">
        <v>12.1</v>
      </c>
      <c r="O132" s="11">
        <v>12.1</v>
      </c>
      <c r="P132" s="11">
        <v>12</v>
      </c>
      <c r="Q132" s="11">
        <v>12</v>
      </c>
      <c r="R132">
        <f>AVERAGE(L132:Q132)</f>
        <v>12.083333333333334</v>
      </c>
    </row>
    <row r="133" spans="1:18" x14ac:dyDescent="0.25">
      <c r="A133" t="s">
        <v>151</v>
      </c>
      <c r="B133" s="11">
        <v>12.2</v>
      </c>
      <c r="C133" s="11">
        <v>12.1</v>
      </c>
      <c r="D133" s="11">
        <v>12.1</v>
      </c>
      <c r="E133" s="11">
        <v>12.1</v>
      </c>
      <c r="F133" s="11">
        <v>12</v>
      </c>
      <c r="G133" s="11">
        <v>12</v>
      </c>
      <c r="H133">
        <f t="shared" ref="H133:H171" si="2">SUM(B133:G133)</f>
        <v>72.5</v>
      </c>
      <c r="K133" t="s">
        <v>78</v>
      </c>
      <c r="L133" s="11">
        <v>12.2</v>
      </c>
      <c r="M133" s="11">
        <v>12.1</v>
      </c>
      <c r="N133" s="11">
        <v>12.1</v>
      </c>
      <c r="O133" s="11">
        <v>12.1</v>
      </c>
      <c r="P133" s="11">
        <v>12</v>
      </c>
      <c r="Q133" s="11">
        <v>12</v>
      </c>
      <c r="R133">
        <f>AVERAGE(L133:Q133)</f>
        <v>12.083333333333334</v>
      </c>
    </row>
    <row r="134" spans="1:18" x14ac:dyDescent="0.25">
      <c r="A134" t="s">
        <v>152</v>
      </c>
      <c r="B134" s="11">
        <v>7.4</v>
      </c>
      <c r="C134" s="11">
        <v>7.4</v>
      </c>
      <c r="D134" s="11"/>
      <c r="E134" s="11">
        <v>7.4</v>
      </c>
      <c r="F134" s="11">
        <v>7.3</v>
      </c>
      <c r="G134" s="11">
        <v>7.3</v>
      </c>
      <c r="H134">
        <f t="shared" si="2"/>
        <v>36.800000000000004</v>
      </c>
      <c r="K134" t="s">
        <v>170</v>
      </c>
      <c r="L134" s="11">
        <v>12.2</v>
      </c>
      <c r="M134" s="11">
        <v>12.1</v>
      </c>
      <c r="N134" s="11">
        <v>12.1</v>
      </c>
      <c r="O134" s="11">
        <v>12.1</v>
      </c>
      <c r="P134" s="11">
        <v>12</v>
      </c>
      <c r="Q134" s="11">
        <v>12</v>
      </c>
      <c r="R134">
        <f>AVERAGE(L134:Q134)</f>
        <v>12.083333333333334</v>
      </c>
    </row>
    <row r="135" spans="1:18" x14ac:dyDescent="0.25">
      <c r="A135" t="s">
        <v>153</v>
      </c>
      <c r="B135" s="11">
        <v>3.2</v>
      </c>
      <c r="C135" s="11">
        <v>2.5</v>
      </c>
      <c r="D135" s="11">
        <v>2.5</v>
      </c>
      <c r="E135" s="11">
        <v>2.4</v>
      </c>
      <c r="F135" s="11">
        <v>2.5</v>
      </c>
      <c r="G135" s="11">
        <v>2.6</v>
      </c>
      <c r="H135">
        <f t="shared" si="2"/>
        <v>15.7</v>
      </c>
      <c r="K135" t="s">
        <v>61</v>
      </c>
      <c r="L135" s="11">
        <v>12.2</v>
      </c>
      <c r="M135" s="11">
        <v>12.1</v>
      </c>
      <c r="N135" s="11">
        <v>12.1</v>
      </c>
      <c r="O135" s="11">
        <v>12.1</v>
      </c>
      <c r="P135" s="11">
        <v>12.1</v>
      </c>
      <c r="Q135" s="11">
        <v>12.1</v>
      </c>
      <c r="R135">
        <f>AVERAGE(L135:Q135)</f>
        <v>12.116666666666667</v>
      </c>
    </row>
    <row r="136" spans="1:18" x14ac:dyDescent="0.25">
      <c r="A136" t="s">
        <v>154</v>
      </c>
      <c r="B136" s="11"/>
      <c r="C136" s="11">
        <v>12.1</v>
      </c>
      <c r="D136" s="11">
        <v>12.1</v>
      </c>
      <c r="E136" s="11">
        <v>12.1</v>
      </c>
      <c r="F136" s="11">
        <v>12</v>
      </c>
      <c r="G136" s="11">
        <v>12</v>
      </c>
      <c r="H136">
        <f t="shared" si="2"/>
        <v>60.3</v>
      </c>
      <c r="K136" t="s">
        <v>112</v>
      </c>
      <c r="L136" s="11">
        <v>13</v>
      </c>
      <c r="M136" s="11">
        <v>12.9</v>
      </c>
      <c r="N136" s="11"/>
      <c r="O136" s="11">
        <v>11.4</v>
      </c>
      <c r="P136" s="11">
        <v>11.7</v>
      </c>
      <c r="Q136" s="11">
        <v>11.6</v>
      </c>
      <c r="R136">
        <f>AVERAGE(L136:Q136)</f>
        <v>12.120000000000001</v>
      </c>
    </row>
    <row r="137" spans="1:18" x14ac:dyDescent="0.25">
      <c r="A137" t="s">
        <v>155</v>
      </c>
      <c r="B137" s="11">
        <v>0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>
        <f t="shared" si="2"/>
        <v>0</v>
      </c>
      <c r="K137" t="s">
        <v>110</v>
      </c>
      <c r="L137" s="11"/>
      <c r="M137" s="11">
        <v>12.2</v>
      </c>
      <c r="N137" s="11"/>
      <c r="O137" s="11">
        <v>12.2</v>
      </c>
      <c r="P137" s="11">
        <v>12.2</v>
      </c>
      <c r="Q137" s="11">
        <v>12.2</v>
      </c>
      <c r="R137">
        <f>AVERAGE(L137:Q137)</f>
        <v>12.2</v>
      </c>
    </row>
    <row r="138" spans="1:18" x14ac:dyDescent="0.25">
      <c r="A138" t="s">
        <v>156</v>
      </c>
      <c r="B138" s="11">
        <v>9.8000000000000007</v>
      </c>
      <c r="C138" s="11">
        <v>9.6</v>
      </c>
      <c r="D138" s="11"/>
      <c r="E138" s="11">
        <v>9.9</v>
      </c>
      <c r="F138" s="11">
        <v>9.6</v>
      </c>
      <c r="G138" s="11"/>
      <c r="H138">
        <f t="shared" si="2"/>
        <v>38.9</v>
      </c>
      <c r="K138" t="s">
        <v>144</v>
      </c>
      <c r="L138" s="11">
        <v>11.3</v>
      </c>
      <c r="M138" s="11">
        <v>11.3</v>
      </c>
      <c r="N138" s="11">
        <v>12.5</v>
      </c>
      <c r="O138" s="11">
        <v>12.4</v>
      </c>
      <c r="P138" s="11">
        <v>13.2</v>
      </c>
      <c r="Q138" s="11">
        <v>13.3</v>
      </c>
      <c r="R138">
        <f>AVERAGE(L138:Q138)</f>
        <v>12.333333333333334</v>
      </c>
    </row>
    <row r="139" spans="1:18" x14ac:dyDescent="0.25">
      <c r="A139" t="s">
        <v>157</v>
      </c>
      <c r="B139" s="11"/>
      <c r="C139" s="11"/>
      <c r="D139" s="11"/>
      <c r="E139" s="11"/>
      <c r="F139" s="11">
        <v>15.6</v>
      </c>
      <c r="G139" s="11">
        <v>15.6</v>
      </c>
      <c r="H139">
        <f t="shared" si="2"/>
        <v>31.2</v>
      </c>
      <c r="K139" t="s">
        <v>126</v>
      </c>
      <c r="L139" s="11">
        <v>12.1</v>
      </c>
      <c r="M139" s="11">
        <v>12.2</v>
      </c>
      <c r="N139" s="11"/>
      <c r="O139" s="11">
        <v>12.7</v>
      </c>
      <c r="P139" s="11">
        <v>12.6</v>
      </c>
      <c r="Q139" s="11">
        <v>12.7</v>
      </c>
      <c r="R139">
        <f>AVERAGE(L139:Q139)</f>
        <v>12.459999999999999</v>
      </c>
    </row>
    <row r="140" spans="1:18" x14ac:dyDescent="0.25">
      <c r="A140" t="s">
        <v>158</v>
      </c>
      <c r="B140" s="11">
        <v>7.7</v>
      </c>
      <c r="C140" s="11">
        <v>7.7</v>
      </c>
      <c r="D140" s="11">
        <v>7.7</v>
      </c>
      <c r="E140" s="11">
        <v>7.8</v>
      </c>
      <c r="F140" s="11">
        <v>7.6</v>
      </c>
      <c r="G140" s="11">
        <v>7.6</v>
      </c>
      <c r="H140">
        <f t="shared" si="2"/>
        <v>46.1</v>
      </c>
      <c r="K140" t="s">
        <v>43</v>
      </c>
      <c r="L140" s="11">
        <v>13.4</v>
      </c>
      <c r="M140" s="11">
        <v>13.4</v>
      </c>
      <c r="N140" s="11">
        <v>13.3</v>
      </c>
      <c r="O140" s="11">
        <v>13.3</v>
      </c>
      <c r="P140" s="11">
        <v>11.1</v>
      </c>
      <c r="Q140" s="11">
        <v>11.2</v>
      </c>
      <c r="R140">
        <f>AVERAGE(L140:Q140)</f>
        <v>12.616666666666667</v>
      </c>
    </row>
    <row r="141" spans="1:18" x14ac:dyDescent="0.25">
      <c r="A141" t="s">
        <v>159</v>
      </c>
      <c r="B141" s="11"/>
      <c r="C141" s="11"/>
      <c r="D141" s="11"/>
      <c r="E141" s="11"/>
      <c r="F141" s="11">
        <v>10.199999999999999</v>
      </c>
      <c r="G141" s="11">
        <v>10.199999999999999</v>
      </c>
      <c r="H141">
        <f t="shared" si="2"/>
        <v>20.399999999999999</v>
      </c>
      <c r="K141" t="s">
        <v>125</v>
      </c>
      <c r="L141" s="11">
        <v>12.3</v>
      </c>
      <c r="M141" s="11">
        <v>12.7</v>
      </c>
      <c r="N141" s="11"/>
      <c r="O141" s="11">
        <v>12.9</v>
      </c>
      <c r="P141" s="11">
        <v>12.9</v>
      </c>
      <c r="Q141" s="11">
        <v>12.6</v>
      </c>
      <c r="R141">
        <f>AVERAGE(L141:Q141)</f>
        <v>12.68</v>
      </c>
    </row>
    <row r="142" spans="1:18" x14ac:dyDescent="0.25">
      <c r="A142" t="s">
        <v>160</v>
      </c>
      <c r="B142" s="11">
        <v>9.3000000000000007</v>
      </c>
      <c r="C142" s="11">
        <v>9.3000000000000007</v>
      </c>
      <c r="D142" s="11"/>
      <c r="E142" s="11">
        <v>6</v>
      </c>
      <c r="F142" s="11">
        <v>5.9</v>
      </c>
      <c r="G142" s="11">
        <v>8.4</v>
      </c>
      <c r="H142">
        <f t="shared" si="2"/>
        <v>38.9</v>
      </c>
      <c r="K142" t="s">
        <v>39</v>
      </c>
      <c r="L142" s="11"/>
      <c r="M142" s="11">
        <v>22.1</v>
      </c>
      <c r="N142" s="11"/>
      <c r="O142" s="11">
        <v>9.6999999999999993</v>
      </c>
      <c r="P142" s="11">
        <v>9.8000000000000007</v>
      </c>
      <c r="Q142" s="11">
        <v>9.3000000000000007</v>
      </c>
      <c r="R142">
        <f>AVERAGE(L142:Q142)</f>
        <v>12.725000000000001</v>
      </c>
    </row>
    <row r="143" spans="1:18" x14ac:dyDescent="0.25">
      <c r="A143" t="s">
        <v>161</v>
      </c>
      <c r="B143" s="11"/>
      <c r="C143" s="11"/>
      <c r="D143" s="11"/>
      <c r="E143" s="11">
        <v>21.6</v>
      </c>
      <c r="F143" s="11"/>
      <c r="G143" s="11"/>
      <c r="H143">
        <f t="shared" si="2"/>
        <v>21.6</v>
      </c>
      <c r="K143" t="s">
        <v>34</v>
      </c>
      <c r="L143" s="11"/>
      <c r="M143" s="11"/>
      <c r="N143" s="11"/>
      <c r="O143" s="11">
        <v>11.7</v>
      </c>
      <c r="P143" s="11">
        <v>13.9</v>
      </c>
      <c r="Q143" s="11"/>
      <c r="R143">
        <f>AVERAGE(L143:Q143)</f>
        <v>12.8</v>
      </c>
    </row>
    <row r="144" spans="1:18" x14ac:dyDescent="0.25">
      <c r="A144" t="s">
        <v>162</v>
      </c>
      <c r="B144" s="11">
        <v>10.4</v>
      </c>
      <c r="C144" s="11">
        <v>10.4</v>
      </c>
      <c r="D144" s="11"/>
      <c r="E144" s="11">
        <v>10.4</v>
      </c>
      <c r="F144" s="11"/>
      <c r="G144" s="11">
        <v>10.4</v>
      </c>
      <c r="H144">
        <f t="shared" si="2"/>
        <v>41.6</v>
      </c>
      <c r="K144" t="s">
        <v>174</v>
      </c>
      <c r="L144" s="11">
        <v>10.7</v>
      </c>
      <c r="M144" s="11">
        <v>11.1</v>
      </c>
      <c r="N144" s="11"/>
      <c r="O144" s="11">
        <v>10.7</v>
      </c>
      <c r="P144" s="11">
        <v>16.8</v>
      </c>
      <c r="Q144" s="11">
        <v>16.2</v>
      </c>
      <c r="R144">
        <f>AVERAGE(L144:Q144)</f>
        <v>13.1</v>
      </c>
    </row>
    <row r="145" spans="1:18" x14ac:dyDescent="0.25">
      <c r="A145" t="s">
        <v>163</v>
      </c>
      <c r="B145" s="11">
        <v>6.6</v>
      </c>
      <c r="C145" s="11">
        <v>6</v>
      </c>
      <c r="D145" s="11">
        <v>5.3</v>
      </c>
      <c r="E145" s="11">
        <v>5.6</v>
      </c>
      <c r="F145" s="11">
        <v>5.6</v>
      </c>
      <c r="G145" s="11">
        <v>5.2</v>
      </c>
      <c r="H145">
        <f t="shared" si="2"/>
        <v>34.300000000000004</v>
      </c>
      <c r="K145" t="s">
        <v>47</v>
      </c>
      <c r="L145" s="11">
        <v>12.8</v>
      </c>
      <c r="M145" s="11">
        <v>12.8</v>
      </c>
      <c r="N145" s="11">
        <v>12.8</v>
      </c>
      <c r="O145" s="11">
        <v>12.8</v>
      </c>
      <c r="P145" s="11">
        <v>13.6</v>
      </c>
      <c r="Q145" s="11">
        <v>14</v>
      </c>
      <c r="R145">
        <f>AVERAGE(L145:Q145)</f>
        <v>13.133333333333333</v>
      </c>
    </row>
    <row r="146" spans="1:18" x14ac:dyDescent="0.25">
      <c r="A146" t="s">
        <v>164</v>
      </c>
      <c r="B146" s="11"/>
      <c r="C146" s="11"/>
      <c r="D146" s="11">
        <v>10.8</v>
      </c>
      <c r="E146" s="11"/>
      <c r="F146" s="11"/>
      <c r="G146" s="11"/>
      <c r="H146">
        <f t="shared" si="2"/>
        <v>10.8</v>
      </c>
      <c r="K146" t="s">
        <v>121</v>
      </c>
      <c r="L146" s="11"/>
      <c r="M146" s="11">
        <v>11.4</v>
      </c>
      <c r="N146" s="11">
        <v>12.3</v>
      </c>
      <c r="O146" s="11">
        <v>14.2</v>
      </c>
      <c r="P146" s="11">
        <v>14</v>
      </c>
      <c r="Q146" s="11">
        <v>14</v>
      </c>
      <c r="R146">
        <f>AVERAGE(L146:Q146)</f>
        <v>13.180000000000001</v>
      </c>
    </row>
    <row r="147" spans="1:18" x14ac:dyDescent="0.25">
      <c r="A147" t="s">
        <v>166</v>
      </c>
      <c r="B147" s="11"/>
      <c r="C147" s="11"/>
      <c r="D147" s="11"/>
      <c r="E147" s="11">
        <v>8</v>
      </c>
      <c r="F147" s="11"/>
      <c r="G147" s="11"/>
      <c r="H147">
        <f t="shared" si="2"/>
        <v>8</v>
      </c>
      <c r="K147" t="s">
        <v>167</v>
      </c>
      <c r="L147" s="11">
        <v>13</v>
      </c>
      <c r="M147" s="11">
        <v>13.1</v>
      </c>
      <c r="N147" s="11">
        <v>13.1</v>
      </c>
      <c r="O147" s="11">
        <v>13.1</v>
      </c>
      <c r="P147" s="11">
        <v>13.9</v>
      </c>
      <c r="Q147" s="11">
        <v>14.1</v>
      </c>
      <c r="R147">
        <f>AVERAGE(L147:Q147)</f>
        <v>13.383333333333333</v>
      </c>
    </row>
    <row r="148" spans="1:18" x14ac:dyDescent="0.25">
      <c r="A148" t="s">
        <v>167</v>
      </c>
      <c r="B148" s="11">
        <v>13</v>
      </c>
      <c r="C148" s="11">
        <v>13.1</v>
      </c>
      <c r="D148" s="11">
        <v>13.1</v>
      </c>
      <c r="E148" s="11">
        <v>13.1</v>
      </c>
      <c r="F148" s="11">
        <v>13.9</v>
      </c>
      <c r="G148" s="11">
        <v>14.1</v>
      </c>
      <c r="H148">
        <f t="shared" si="2"/>
        <v>80.3</v>
      </c>
      <c r="K148" t="s">
        <v>27</v>
      </c>
      <c r="L148" s="11">
        <v>13.7</v>
      </c>
      <c r="M148" s="11">
        <v>13.5</v>
      </c>
      <c r="N148" s="11">
        <v>13.4</v>
      </c>
      <c r="O148" s="11">
        <v>13.4</v>
      </c>
      <c r="P148" s="11">
        <v>13.3</v>
      </c>
      <c r="Q148" s="11">
        <v>13.4</v>
      </c>
      <c r="R148">
        <f>AVERAGE(L148:Q148)</f>
        <v>13.450000000000001</v>
      </c>
    </row>
    <row r="149" spans="1:18" x14ac:dyDescent="0.25">
      <c r="A149" t="s">
        <v>168</v>
      </c>
      <c r="B149" s="11"/>
      <c r="C149" s="11">
        <v>10.199999999999999</v>
      </c>
      <c r="D149" s="11">
        <v>10.199999999999999</v>
      </c>
      <c r="E149" s="11">
        <v>11.5</v>
      </c>
      <c r="F149" s="11">
        <v>9.6999999999999993</v>
      </c>
      <c r="G149" s="11">
        <v>9.8000000000000007</v>
      </c>
      <c r="H149">
        <f t="shared" si="2"/>
        <v>51.399999999999991</v>
      </c>
      <c r="K149" t="s">
        <v>100</v>
      </c>
      <c r="L149" s="11">
        <v>13.7</v>
      </c>
      <c r="M149" s="11">
        <v>13.6</v>
      </c>
      <c r="N149" s="11">
        <v>13.6</v>
      </c>
      <c r="O149" s="11">
        <v>13.6</v>
      </c>
      <c r="P149" s="11">
        <v>13.4</v>
      </c>
      <c r="Q149" s="11">
        <v>13.4</v>
      </c>
      <c r="R149">
        <f>AVERAGE(L149:Q149)</f>
        <v>13.550000000000002</v>
      </c>
    </row>
    <row r="150" spans="1:18" x14ac:dyDescent="0.25">
      <c r="A150" t="s">
        <v>78</v>
      </c>
      <c r="B150" s="11">
        <v>12.2</v>
      </c>
      <c r="C150" s="11">
        <v>12.1</v>
      </c>
      <c r="D150" s="11">
        <v>12.1</v>
      </c>
      <c r="E150" s="11">
        <v>12.1</v>
      </c>
      <c r="F150" s="11">
        <v>12</v>
      </c>
      <c r="G150" s="11">
        <v>12</v>
      </c>
      <c r="H150">
        <f t="shared" si="2"/>
        <v>72.5</v>
      </c>
      <c r="K150" t="s">
        <v>98</v>
      </c>
      <c r="L150" s="11">
        <v>13.5</v>
      </c>
      <c r="M150" s="11">
        <v>13.4</v>
      </c>
      <c r="N150" s="11">
        <v>13.5</v>
      </c>
      <c r="O150" s="11">
        <v>13.2</v>
      </c>
      <c r="P150" s="11">
        <v>14.3</v>
      </c>
      <c r="Q150" s="11">
        <v>13.8</v>
      </c>
      <c r="R150">
        <f>AVERAGE(L150:Q150)</f>
        <v>13.616666666666665</v>
      </c>
    </row>
    <row r="151" spans="1:18" x14ac:dyDescent="0.25">
      <c r="A151" t="s">
        <v>169</v>
      </c>
      <c r="B151" s="11"/>
      <c r="C151" s="11"/>
      <c r="D151" s="11"/>
      <c r="E151" s="11">
        <v>2.5</v>
      </c>
      <c r="F151" s="11">
        <v>2.5</v>
      </c>
      <c r="G151" s="11">
        <v>2.5</v>
      </c>
      <c r="H151">
        <f t="shared" si="2"/>
        <v>7.5</v>
      </c>
      <c r="K151" t="s">
        <v>184</v>
      </c>
      <c r="L151" s="11">
        <v>13.8</v>
      </c>
      <c r="M151" s="11">
        <v>13.8</v>
      </c>
      <c r="N151" s="11"/>
      <c r="O151" s="11">
        <v>13.8</v>
      </c>
      <c r="P151" s="11">
        <v>13.8</v>
      </c>
      <c r="Q151" s="11">
        <v>13.8</v>
      </c>
      <c r="R151">
        <f>AVERAGE(L151:Q151)</f>
        <v>13.8</v>
      </c>
    </row>
    <row r="152" spans="1:18" x14ac:dyDescent="0.25">
      <c r="A152" t="s">
        <v>170</v>
      </c>
      <c r="B152" s="11">
        <v>12.2</v>
      </c>
      <c r="C152" s="11">
        <v>12.1</v>
      </c>
      <c r="D152" s="11">
        <v>12.1</v>
      </c>
      <c r="E152" s="11">
        <v>12.1</v>
      </c>
      <c r="F152" s="11">
        <v>12</v>
      </c>
      <c r="G152" s="11">
        <v>12</v>
      </c>
      <c r="H152">
        <f t="shared" si="2"/>
        <v>72.5</v>
      </c>
      <c r="K152" t="s">
        <v>33</v>
      </c>
      <c r="L152" s="11">
        <v>14</v>
      </c>
      <c r="M152" s="11">
        <v>14</v>
      </c>
      <c r="N152" s="11"/>
      <c r="O152" s="11">
        <v>14</v>
      </c>
      <c r="P152" s="11">
        <v>14.1</v>
      </c>
      <c r="Q152" s="11">
        <v>14.1</v>
      </c>
      <c r="R152">
        <f>AVERAGE(L152:Q152)</f>
        <v>14.040000000000001</v>
      </c>
    </row>
    <row r="153" spans="1:18" x14ac:dyDescent="0.25">
      <c r="A153" t="s">
        <v>171</v>
      </c>
      <c r="B153" s="11"/>
      <c r="C153" s="11"/>
      <c r="D153" s="11"/>
      <c r="E153" s="11">
        <v>10.7</v>
      </c>
      <c r="F153" s="11">
        <v>10.7</v>
      </c>
      <c r="G153" s="11">
        <v>10.7</v>
      </c>
      <c r="H153">
        <f t="shared" si="2"/>
        <v>32.099999999999994</v>
      </c>
      <c r="K153" t="s">
        <v>187</v>
      </c>
      <c r="L153" s="11">
        <v>13.5</v>
      </c>
      <c r="M153" s="11"/>
      <c r="N153" s="11"/>
      <c r="O153" s="11">
        <v>14.6</v>
      </c>
      <c r="P153" s="11">
        <v>14.6</v>
      </c>
      <c r="Q153" s="11">
        <v>14.6</v>
      </c>
      <c r="R153">
        <f>AVERAGE(L153:Q153)</f>
        <v>14.325000000000001</v>
      </c>
    </row>
    <row r="154" spans="1:18" x14ac:dyDescent="0.25">
      <c r="A154" t="s">
        <v>172</v>
      </c>
      <c r="B154" s="11">
        <v>8.1</v>
      </c>
      <c r="C154" s="11"/>
      <c r="D154" s="11"/>
      <c r="E154" s="11">
        <v>8.3000000000000007</v>
      </c>
      <c r="F154" s="11">
        <v>8.3000000000000007</v>
      </c>
      <c r="G154" s="11">
        <v>8.1999999999999993</v>
      </c>
      <c r="H154">
        <f t="shared" si="2"/>
        <v>32.9</v>
      </c>
      <c r="K154" t="s">
        <v>176</v>
      </c>
      <c r="L154" s="11">
        <v>13</v>
      </c>
      <c r="M154" s="11">
        <v>13.5</v>
      </c>
      <c r="N154" s="11">
        <v>13.7</v>
      </c>
      <c r="O154" s="11">
        <v>17.600000000000001</v>
      </c>
      <c r="P154" s="11">
        <v>18.399999999999999</v>
      </c>
      <c r="Q154" s="11">
        <v>15.6</v>
      </c>
      <c r="R154">
        <f>AVERAGE(L154:Q154)</f>
        <v>15.299999999999999</v>
      </c>
    </row>
    <row r="155" spans="1:18" x14ac:dyDescent="0.25">
      <c r="A155" t="s">
        <v>173</v>
      </c>
      <c r="B155" s="11"/>
      <c r="C155" s="11"/>
      <c r="D155" s="11"/>
      <c r="E155" s="11"/>
      <c r="F155" s="11">
        <v>19.5</v>
      </c>
      <c r="G155" s="11">
        <v>19.5</v>
      </c>
      <c r="H155">
        <f t="shared" si="2"/>
        <v>39</v>
      </c>
      <c r="K155" t="s">
        <v>57</v>
      </c>
      <c r="L155" s="11">
        <v>15.4</v>
      </c>
      <c r="M155" s="11">
        <v>15.8</v>
      </c>
      <c r="N155" s="11"/>
      <c r="O155" s="11">
        <v>15.1</v>
      </c>
      <c r="P155" s="11">
        <v>15.1</v>
      </c>
      <c r="Q155" s="11"/>
      <c r="R155">
        <f>AVERAGE(L155:Q155)</f>
        <v>15.350000000000001</v>
      </c>
    </row>
    <row r="156" spans="1:18" x14ac:dyDescent="0.25">
      <c r="A156" t="s">
        <v>174</v>
      </c>
      <c r="B156" s="11">
        <v>10.7</v>
      </c>
      <c r="C156" s="11">
        <v>11.1</v>
      </c>
      <c r="D156" s="11"/>
      <c r="E156" s="11">
        <v>10.7</v>
      </c>
      <c r="F156" s="11">
        <v>16.8</v>
      </c>
      <c r="G156" s="11">
        <v>16.2</v>
      </c>
      <c r="H156">
        <f t="shared" si="2"/>
        <v>65.5</v>
      </c>
      <c r="K156" t="s">
        <v>157</v>
      </c>
      <c r="L156" s="11"/>
      <c r="M156" s="11"/>
      <c r="N156" s="11"/>
      <c r="O156" s="11"/>
      <c r="P156" s="11">
        <v>15.6</v>
      </c>
      <c r="Q156" s="11">
        <v>15.6</v>
      </c>
      <c r="R156">
        <f>AVERAGE(L156:Q156)</f>
        <v>15.6</v>
      </c>
    </row>
    <row r="157" spans="1:18" x14ac:dyDescent="0.25">
      <c r="A157" t="s">
        <v>175</v>
      </c>
      <c r="B157" s="11"/>
      <c r="C157" s="11"/>
      <c r="D157" s="11"/>
      <c r="E157" s="11"/>
      <c r="F157" s="11"/>
      <c r="G157" s="11"/>
      <c r="H157">
        <f t="shared" si="2"/>
        <v>0</v>
      </c>
      <c r="K157" t="s">
        <v>90</v>
      </c>
      <c r="L157" s="11">
        <v>17.100000000000001</v>
      </c>
      <c r="M157" s="11">
        <v>17.600000000000001</v>
      </c>
      <c r="N157" s="11">
        <v>15</v>
      </c>
      <c r="O157" s="11">
        <v>18.3</v>
      </c>
      <c r="P157" s="11">
        <v>18.100000000000001</v>
      </c>
      <c r="Q157" s="11">
        <v>17</v>
      </c>
      <c r="R157">
        <f>AVERAGE(L157:Q157)</f>
        <v>17.183333333333334</v>
      </c>
    </row>
    <row r="158" spans="1:18" x14ac:dyDescent="0.25">
      <c r="A158" t="s">
        <v>176</v>
      </c>
      <c r="B158" s="11">
        <v>13</v>
      </c>
      <c r="C158" s="11">
        <v>13.5</v>
      </c>
      <c r="D158" s="11">
        <v>13.7</v>
      </c>
      <c r="E158" s="11">
        <v>17.600000000000001</v>
      </c>
      <c r="F158" s="11">
        <v>18.399999999999999</v>
      </c>
      <c r="G158" s="11">
        <v>15.6</v>
      </c>
      <c r="H158">
        <f t="shared" si="2"/>
        <v>91.8</v>
      </c>
      <c r="K158" t="s">
        <v>74</v>
      </c>
      <c r="L158" s="11">
        <v>17.399999999999999</v>
      </c>
      <c r="M158" s="11"/>
      <c r="N158" s="11"/>
      <c r="O158" s="11">
        <v>17</v>
      </c>
      <c r="P158" s="11"/>
      <c r="Q158" s="11"/>
      <c r="R158">
        <f>AVERAGE(L158:Q158)</f>
        <v>17.2</v>
      </c>
    </row>
    <row r="159" spans="1:18" x14ac:dyDescent="0.25">
      <c r="A159" t="s">
        <v>177</v>
      </c>
      <c r="B159" s="11">
        <v>4.5</v>
      </c>
      <c r="C159" s="11">
        <v>4.5</v>
      </c>
      <c r="D159" s="11">
        <v>4.5</v>
      </c>
      <c r="E159" s="11">
        <v>4.4000000000000004</v>
      </c>
      <c r="F159" s="11">
        <v>4.4000000000000004</v>
      </c>
      <c r="G159" s="11">
        <v>4.3</v>
      </c>
      <c r="H159">
        <f t="shared" si="2"/>
        <v>26.599999999999998</v>
      </c>
      <c r="K159" t="s">
        <v>77</v>
      </c>
      <c r="L159" s="11"/>
      <c r="M159" s="11">
        <v>17.7</v>
      </c>
      <c r="N159" s="11"/>
      <c r="O159" s="11"/>
      <c r="P159" s="11">
        <v>18.100000000000001</v>
      </c>
      <c r="Q159" s="11">
        <v>18.100000000000001</v>
      </c>
      <c r="R159">
        <f>AVERAGE(L159:Q159)</f>
        <v>17.966666666666665</v>
      </c>
    </row>
    <row r="160" spans="1:18" x14ac:dyDescent="0.25">
      <c r="A160" t="s">
        <v>178</v>
      </c>
      <c r="B160" s="11">
        <v>4.8</v>
      </c>
      <c r="C160" s="11">
        <v>4.8</v>
      </c>
      <c r="D160" s="11">
        <v>4.7</v>
      </c>
      <c r="E160" s="11">
        <v>4.8</v>
      </c>
      <c r="F160" s="11">
        <v>4.7</v>
      </c>
      <c r="G160" s="11">
        <v>4.7</v>
      </c>
      <c r="H160">
        <f t="shared" si="2"/>
        <v>28.5</v>
      </c>
      <c r="K160" t="s">
        <v>188</v>
      </c>
      <c r="L160" s="11"/>
      <c r="M160" s="11"/>
      <c r="N160" s="11">
        <v>18.100000000000001</v>
      </c>
      <c r="O160" s="11">
        <v>18</v>
      </c>
      <c r="P160" s="11"/>
      <c r="Q160" s="11"/>
      <c r="R160">
        <f>AVERAGE(L160:Q160)</f>
        <v>18.05</v>
      </c>
    </row>
    <row r="161" spans="1:18" x14ac:dyDescent="0.25">
      <c r="A161" t="s">
        <v>179</v>
      </c>
      <c r="B161" s="11"/>
      <c r="C161" s="11"/>
      <c r="D161" s="11"/>
      <c r="E161" s="11">
        <v>3.9</v>
      </c>
      <c r="F161" s="11">
        <v>3.8</v>
      </c>
      <c r="G161" s="11">
        <v>3.8</v>
      </c>
      <c r="H161">
        <f t="shared" si="2"/>
        <v>11.5</v>
      </c>
      <c r="K161" t="s">
        <v>52</v>
      </c>
      <c r="L161" s="11"/>
      <c r="M161" s="11"/>
      <c r="N161" s="11"/>
      <c r="O161" s="11"/>
      <c r="P161" s="11">
        <v>18.100000000000001</v>
      </c>
      <c r="Q161" s="11">
        <v>18.100000000000001</v>
      </c>
      <c r="R161">
        <f>AVERAGE(L161:Q161)</f>
        <v>18.100000000000001</v>
      </c>
    </row>
    <row r="162" spans="1:18" x14ac:dyDescent="0.25">
      <c r="A162" t="s">
        <v>180</v>
      </c>
      <c r="B162" s="11">
        <v>3.5</v>
      </c>
      <c r="C162" s="11">
        <v>3.3</v>
      </c>
      <c r="D162" s="11">
        <v>3.4</v>
      </c>
      <c r="E162" s="11">
        <v>3.4</v>
      </c>
      <c r="F162" s="11">
        <v>3.3</v>
      </c>
      <c r="G162" s="11">
        <v>3.3</v>
      </c>
      <c r="H162">
        <f t="shared" si="2"/>
        <v>20.2</v>
      </c>
      <c r="K162" t="s">
        <v>53</v>
      </c>
      <c r="L162" s="11"/>
      <c r="M162" s="11"/>
      <c r="N162" s="11"/>
      <c r="O162" s="11"/>
      <c r="P162" s="11">
        <v>18.100000000000001</v>
      </c>
      <c r="Q162" s="11">
        <v>18.100000000000001</v>
      </c>
      <c r="R162">
        <f>AVERAGE(L162:Q162)</f>
        <v>18.100000000000001</v>
      </c>
    </row>
    <row r="163" spans="1:18" x14ac:dyDescent="0.25">
      <c r="A163" t="s">
        <v>181</v>
      </c>
      <c r="B163" s="11">
        <v>10.3</v>
      </c>
      <c r="C163" s="11">
        <v>10.3</v>
      </c>
      <c r="D163" s="11">
        <v>10.3</v>
      </c>
      <c r="E163" s="11">
        <v>10.3</v>
      </c>
      <c r="F163" s="11">
        <v>10.1</v>
      </c>
      <c r="G163" s="11">
        <v>10.1</v>
      </c>
      <c r="H163">
        <f t="shared" si="2"/>
        <v>61.400000000000006</v>
      </c>
      <c r="K163" t="s">
        <v>58</v>
      </c>
      <c r="L163" s="11"/>
      <c r="M163" s="11"/>
      <c r="N163" s="11"/>
      <c r="O163" s="11"/>
      <c r="P163" s="11">
        <v>18.100000000000001</v>
      </c>
      <c r="Q163" s="11">
        <v>18.100000000000001</v>
      </c>
      <c r="R163">
        <f>AVERAGE(L163:Q163)</f>
        <v>18.100000000000001</v>
      </c>
    </row>
    <row r="164" spans="1:18" x14ac:dyDescent="0.25">
      <c r="A164" t="s">
        <v>182</v>
      </c>
      <c r="B164" s="11"/>
      <c r="C164" s="11"/>
      <c r="D164" s="11">
        <v>7.6</v>
      </c>
      <c r="E164" s="11">
        <v>7.3</v>
      </c>
      <c r="F164" s="11"/>
      <c r="G164" s="11"/>
      <c r="H164">
        <f t="shared" si="2"/>
        <v>14.899999999999999</v>
      </c>
      <c r="K164" t="s">
        <v>50</v>
      </c>
      <c r="L164" s="11"/>
      <c r="M164" s="11">
        <v>18.2</v>
      </c>
      <c r="N164" s="11"/>
      <c r="O164" s="11"/>
      <c r="P164" s="11">
        <v>18.100000000000001</v>
      </c>
      <c r="Q164" s="11">
        <v>18.100000000000001</v>
      </c>
      <c r="R164">
        <f>AVERAGE(L164:Q164)</f>
        <v>18.133333333333333</v>
      </c>
    </row>
    <row r="165" spans="1:18" x14ac:dyDescent="0.25">
      <c r="A165" t="s">
        <v>183</v>
      </c>
      <c r="B165" s="11">
        <v>9.1999999999999993</v>
      </c>
      <c r="C165" s="11"/>
      <c r="D165" s="11">
        <v>9.1999999999999993</v>
      </c>
      <c r="E165" s="11">
        <v>9.1999999999999993</v>
      </c>
      <c r="F165" s="11">
        <v>9.1999999999999993</v>
      </c>
      <c r="G165" s="11">
        <v>9</v>
      </c>
      <c r="H165">
        <f t="shared" si="2"/>
        <v>45.8</v>
      </c>
      <c r="K165" t="s">
        <v>24</v>
      </c>
      <c r="L165" s="11">
        <v>18.899999999999999</v>
      </c>
      <c r="M165" s="11">
        <v>18.899999999999999</v>
      </c>
      <c r="N165" s="11"/>
      <c r="O165" s="11">
        <v>19</v>
      </c>
      <c r="P165" s="11">
        <v>18.899999999999999</v>
      </c>
      <c r="Q165" s="11"/>
      <c r="R165">
        <f>AVERAGE(L165:Q165)</f>
        <v>18.924999999999997</v>
      </c>
    </row>
    <row r="166" spans="1:18" x14ac:dyDescent="0.25">
      <c r="A166" t="s">
        <v>184</v>
      </c>
      <c r="B166" s="11">
        <v>13.8</v>
      </c>
      <c r="C166" s="11">
        <v>13.8</v>
      </c>
      <c r="D166" s="11"/>
      <c r="E166" s="11">
        <v>13.8</v>
      </c>
      <c r="F166" s="11">
        <v>13.8</v>
      </c>
      <c r="G166" s="11">
        <v>13.8</v>
      </c>
      <c r="H166">
        <f t="shared" si="2"/>
        <v>69</v>
      </c>
      <c r="K166" t="s">
        <v>69</v>
      </c>
      <c r="L166" s="11">
        <v>19.100000000000001</v>
      </c>
      <c r="M166" s="11">
        <v>19</v>
      </c>
      <c r="N166" s="11"/>
      <c r="O166" s="11"/>
      <c r="P166" s="11"/>
      <c r="Q166" s="11"/>
      <c r="R166">
        <f>AVERAGE(L166:Q166)</f>
        <v>19.05</v>
      </c>
    </row>
    <row r="167" spans="1:18" x14ac:dyDescent="0.25">
      <c r="A167" t="s">
        <v>185</v>
      </c>
      <c r="B167" s="11">
        <v>9.5</v>
      </c>
      <c r="C167" s="11">
        <v>9.6</v>
      </c>
      <c r="D167" s="11">
        <v>9.5</v>
      </c>
      <c r="E167" s="11">
        <v>9.6</v>
      </c>
      <c r="F167" s="11">
        <v>9.6</v>
      </c>
      <c r="G167" s="11">
        <v>9.4</v>
      </c>
      <c r="H167">
        <f t="shared" si="2"/>
        <v>57.2</v>
      </c>
      <c r="K167" t="s">
        <v>173</v>
      </c>
      <c r="L167" s="11"/>
      <c r="M167" s="11"/>
      <c r="N167" s="11"/>
      <c r="O167" s="11"/>
      <c r="P167" s="11">
        <v>19.5</v>
      </c>
      <c r="Q167" s="11">
        <v>19.5</v>
      </c>
      <c r="R167">
        <f>AVERAGE(L167:Q167)</f>
        <v>19.5</v>
      </c>
    </row>
    <row r="168" spans="1:18" x14ac:dyDescent="0.25">
      <c r="A168" t="s">
        <v>186</v>
      </c>
      <c r="B168" s="11"/>
      <c r="C168" s="11"/>
      <c r="D168" s="11"/>
      <c r="E168" s="11"/>
      <c r="F168" s="11"/>
      <c r="G168" s="11"/>
      <c r="H168">
        <f t="shared" si="2"/>
        <v>0</v>
      </c>
      <c r="K168" t="s">
        <v>92</v>
      </c>
      <c r="L168" s="11"/>
      <c r="M168" s="11">
        <v>20.100000000000001</v>
      </c>
      <c r="N168" s="11">
        <v>20.100000000000001</v>
      </c>
      <c r="O168" s="11"/>
      <c r="P168" s="11"/>
      <c r="Q168" s="11"/>
      <c r="R168">
        <f>AVERAGE(L168:Q168)</f>
        <v>20.100000000000001</v>
      </c>
    </row>
    <row r="169" spans="1:18" x14ac:dyDescent="0.25">
      <c r="A169" t="s">
        <v>187</v>
      </c>
      <c r="B169" s="11">
        <v>13.5</v>
      </c>
      <c r="C169" s="11"/>
      <c r="D169" s="11"/>
      <c r="E169" s="11">
        <v>14.6</v>
      </c>
      <c r="F169" s="11">
        <v>14.6</v>
      </c>
      <c r="G169" s="11">
        <v>14.6</v>
      </c>
      <c r="H169">
        <f t="shared" si="2"/>
        <v>57.300000000000004</v>
      </c>
      <c r="K169" t="s">
        <v>161</v>
      </c>
      <c r="L169" s="11"/>
      <c r="M169" s="11"/>
      <c r="N169" s="11"/>
      <c r="O169" s="11">
        <v>21.6</v>
      </c>
      <c r="P169" s="11"/>
      <c r="Q169" s="11"/>
      <c r="R169">
        <f>AVERAGE(L169:Q169)</f>
        <v>21.6</v>
      </c>
    </row>
    <row r="170" spans="1:18" x14ac:dyDescent="0.25">
      <c r="A170" t="s">
        <v>188</v>
      </c>
      <c r="B170" s="11"/>
      <c r="C170" s="11"/>
      <c r="D170" s="11">
        <v>18.100000000000001</v>
      </c>
      <c r="E170" s="11">
        <v>18</v>
      </c>
      <c r="F170" s="11"/>
      <c r="G170" s="11"/>
      <c r="H170">
        <f t="shared" si="2"/>
        <v>36.1</v>
      </c>
      <c r="K170" t="s">
        <v>31</v>
      </c>
      <c r="L170" s="11">
        <v>32.5</v>
      </c>
      <c r="M170" s="11"/>
      <c r="N170" s="11"/>
      <c r="O170" s="11"/>
      <c r="P170" s="11"/>
      <c r="Q170" s="11"/>
      <c r="R170">
        <f>AVERAGE(L170:Q170)</f>
        <v>32.5</v>
      </c>
    </row>
    <row r="171" spans="1:18" x14ac:dyDescent="0.25">
      <c r="A171" t="s">
        <v>195</v>
      </c>
      <c r="B171" s="11">
        <v>1023.0000000000002</v>
      </c>
      <c r="C171" s="11">
        <v>1137.0000000000002</v>
      </c>
      <c r="D171" s="11">
        <v>742.2000000000005</v>
      </c>
      <c r="E171" s="11">
        <v>1158.0000000000007</v>
      </c>
      <c r="F171" s="11">
        <v>1158.7000000000003</v>
      </c>
      <c r="G171" s="11">
        <v>1162.1999999999998</v>
      </c>
      <c r="H171">
        <f t="shared" si="2"/>
        <v>6381.1000000000013</v>
      </c>
    </row>
  </sheetData>
  <autoFilter ref="K3:R170" xr:uid="{40482F17-7AA8-45F5-A129-1960B84019ED}">
    <filterColumn colId="7">
      <filters>
        <filter val="0"/>
        <filter val="0.32"/>
        <filter val="0.8"/>
        <filter val="1.416666667"/>
        <filter val="1.933333333"/>
        <filter val="10.025"/>
        <filter val="10.16"/>
        <filter val="10.2"/>
        <filter val="10.23333333"/>
        <filter val="10.28"/>
        <filter val="10.3"/>
        <filter val="10.4"/>
        <filter val="10.46"/>
        <filter val="10.7"/>
        <filter val="10.8"/>
        <filter val="10.88"/>
        <filter val="10.9"/>
        <filter val="11"/>
        <filter val="11.2"/>
        <filter val="11.35"/>
        <filter val="11.54"/>
        <filter val="11.62"/>
        <filter val="11.66666667"/>
        <filter val="11.74"/>
        <filter val="11.78333333"/>
        <filter val="11.9"/>
        <filter val="12.03333333"/>
        <filter val="12.05"/>
        <filter val="12.06"/>
        <filter val="12.06666667"/>
        <filter val="12.08333333"/>
        <filter val="12.11666667"/>
        <filter val="12.12"/>
        <filter val="12.2"/>
        <filter val="12.33333333"/>
        <filter val="12.46"/>
        <filter val="12.61666667"/>
        <filter val="12.68"/>
        <filter val="12.725"/>
        <filter val="12.8"/>
        <filter val="13.1"/>
        <filter val="13.13333333"/>
        <filter val="13.18"/>
        <filter val="13.38333333"/>
        <filter val="13.45"/>
        <filter val="13.55"/>
        <filter val="13.61666667"/>
        <filter val="13.8"/>
        <filter val="14.04"/>
        <filter val="14.325"/>
        <filter val="15.3"/>
        <filter val="15.35"/>
        <filter val="15.6"/>
        <filter val="17.18333333"/>
        <filter val="17.2"/>
        <filter val="17.96666667"/>
        <filter val="18.05"/>
        <filter val="18.1"/>
        <filter val="18.13333333"/>
        <filter val="18.925"/>
        <filter val="19.05"/>
        <filter val="19.5"/>
        <filter val="2.36"/>
        <filter val="2.416666667"/>
        <filter val="2.5"/>
        <filter val="2.616666667"/>
        <filter val="20.1"/>
        <filter val="21.6"/>
        <filter val="3.08"/>
        <filter val="3.366666667"/>
        <filter val="3.38"/>
        <filter val="3.42"/>
        <filter val="3.583333333"/>
        <filter val="3.7"/>
        <filter val="3.833333333"/>
        <filter val="3.9"/>
        <filter val="32.5"/>
        <filter val="4.15"/>
        <filter val="4.16"/>
        <filter val="4.433333333"/>
        <filter val="4.7"/>
        <filter val="4.733333333"/>
        <filter val="4.75"/>
        <filter val="4.783333333"/>
        <filter val="4.866666667"/>
        <filter val="4.9"/>
        <filter val="5.075"/>
        <filter val="5.1"/>
        <filter val="5.116666667"/>
        <filter val="5.2"/>
        <filter val="5.3"/>
        <filter val="5.566666667"/>
        <filter val="5.6"/>
        <filter val="5.62"/>
        <filter val="5.666666667"/>
        <filter val="5.7"/>
        <filter val="5.716666667"/>
        <filter val="5.733333333"/>
        <filter val="5.833333333"/>
        <filter val="5.933333333"/>
        <filter val="5.94"/>
        <filter val="6"/>
        <filter val="6.1"/>
        <filter val="6.28"/>
        <filter val="6.34"/>
        <filter val="6.5"/>
        <filter val="6.516666667"/>
        <filter val="6.533333333"/>
        <filter val="6.65"/>
        <filter val="6.68"/>
        <filter val="6.7"/>
        <filter val="6.866666667"/>
        <filter val="6.9"/>
        <filter val="7.033333333"/>
        <filter val="7.36"/>
        <filter val="7.45"/>
        <filter val="7.58"/>
        <filter val="7.633333333"/>
        <filter val="7.65"/>
        <filter val="7.683333333"/>
        <filter val="7.78"/>
        <filter val="7.9"/>
        <filter val="8"/>
        <filter val="8.06"/>
        <filter val="8.225"/>
        <filter val="8.4"/>
        <filter val="8.566666667"/>
        <filter val="8.575"/>
        <filter val="8.58"/>
        <filter val="9.133333333"/>
        <filter val="9.16"/>
        <filter val="9.166666667"/>
        <filter val="9.2"/>
        <filter val="9.48"/>
        <filter val="9.533333333"/>
        <filter val="9.725"/>
        <filter val="9.9"/>
      </filters>
    </filterColumn>
    <sortState xmlns:xlrd2="http://schemas.microsoft.com/office/spreadsheetml/2017/richdata2" ref="K13:R170">
      <sortCondition ref="R3:R1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0"/>
  <sheetViews>
    <sheetView workbookViewId="0">
      <selection activeCell="S5" sqref="S5"/>
    </sheetView>
  </sheetViews>
  <sheetFormatPr defaultRowHeight="15" x14ac:dyDescent="0.25"/>
  <cols>
    <col min="1" max="1" width="31.85546875" customWidth="1"/>
    <col min="2" max="20" width="9.140625" customWidth="1"/>
  </cols>
  <sheetData>
    <row r="1" spans="1:20" x14ac:dyDescent="0.25">
      <c r="A1" s="1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</row>
    <row r="3" spans="1:20" x14ac:dyDescent="0.25">
      <c r="A3" s="4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7" t="s">
        <v>21</v>
      </c>
    </row>
    <row r="4" spans="1:20" x14ac:dyDescent="0.25">
      <c r="A4" s="5" t="s">
        <v>22</v>
      </c>
      <c r="C4">
        <v>5.7</v>
      </c>
      <c r="D4">
        <v>5.7</v>
      </c>
      <c r="E4">
        <v>5.6</v>
      </c>
      <c r="I4">
        <v>5.9</v>
      </c>
      <c r="J4">
        <v>5.9</v>
      </c>
      <c r="O4">
        <v>6.5</v>
      </c>
      <c r="T4" s="8"/>
    </row>
    <row r="5" spans="1:20" x14ac:dyDescent="0.25">
      <c r="A5" s="5" t="s">
        <v>23</v>
      </c>
      <c r="C5">
        <v>5.7</v>
      </c>
      <c r="D5">
        <v>5.4</v>
      </c>
      <c r="E5">
        <v>5.2</v>
      </c>
      <c r="F5">
        <v>5</v>
      </c>
      <c r="G5">
        <v>5</v>
      </c>
      <c r="H5">
        <v>5</v>
      </c>
      <c r="I5">
        <v>3.8</v>
      </c>
      <c r="J5">
        <v>3.8</v>
      </c>
      <c r="K5">
        <v>3.8</v>
      </c>
      <c r="L5">
        <v>3.8</v>
      </c>
      <c r="M5">
        <v>3.8</v>
      </c>
      <c r="N5">
        <v>3.6</v>
      </c>
      <c r="O5">
        <v>3.6</v>
      </c>
      <c r="P5">
        <v>3.6</v>
      </c>
      <c r="Q5">
        <v>3.6</v>
      </c>
      <c r="R5">
        <v>3.6</v>
      </c>
      <c r="S5">
        <v>3.6</v>
      </c>
      <c r="T5" s="8">
        <v>3.5</v>
      </c>
    </row>
    <row r="6" spans="1:20" x14ac:dyDescent="0.25">
      <c r="A6" s="5" t="s">
        <v>24</v>
      </c>
      <c r="C6">
        <v>18.7</v>
      </c>
      <c r="D6">
        <v>18.600000000000001</v>
      </c>
      <c r="E6">
        <v>18.600000000000001</v>
      </c>
      <c r="F6">
        <v>18.600000000000001</v>
      </c>
      <c r="G6">
        <v>18.600000000000001</v>
      </c>
      <c r="K6">
        <v>18.8</v>
      </c>
      <c r="L6">
        <v>18.8</v>
      </c>
      <c r="M6">
        <v>18.899999999999999</v>
      </c>
      <c r="N6">
        <v>18.8</v>
      </c>
      <c r="O6">
        <v>18.899999999999999</v>
      </c>
      <c r="P6">
        <v>18.899999999999999</v>
      </c>
      <c r="R6">
        <v>19</v>
      </c>
      <c r="S6">
        <v>18.899999999999999</v>
      </c>
      <c r="T6" s="8"/>
    </row>
    <row r="7" spans="1:20" x14ac:dyDescent="0.25">
      <c r="A7" s="5" t="s">
        <v>25</v>
      </c>
      <c r="C7">
        <v>7.2</v>
      </c>
      <c r="D7">
        <v>7.3</v>
      </c>
      <c r="E7">
        <v>7.3</v>
      </c>
      <c r="F7">
        <v>7.3</v>
      </c>
      <c r="H7">
        <v>7.3</v>
      </c>
      <c r="J7">
        <v>7.3</v>
      </c>
      <c r="K7">
        <v>11.4</v>
      </c>
      <c r="L7">
        <v>11.4</v>
      </c>
      <c r="M7">
        <v>11.4</v>
      </c>
      <c r="O7">
        <v>9.1999999999999993</v>
      </c>
      <c r="P7">
        <v>10.199999999999999</v>
      </c>
      <c r="R7">
        <v>10.9</v>
      </c>
      <c r="S7">
        <v>11</v>
      </c>
      <c r="T7" s="8">
        <v>11</v>
      </c>
    </row>
    <row r="8" spans="1:20" x14ac:dyDescent="0.25">
      <c r="A8" s="5" t="s">
        <v>26</v>
      </c>
      <c r="C8">
        <v>9.6999999999999993</v>
      </c>
      <c r="D8">
        <v>9.6999999999999993</v>
      </c>
      <c r="E8">
        <v>9.6999999999999993</v>
      </c>
      <c r="F8">
        <v>9.8000000000000007</v>
      </c>
      <c r="H8">
        <v>10.4</v>
      </c>
      <c r="I8">
        <v>10</v>
      </c>
      <c r="J8">
        <v>10.5</v>
      </c>
      <c r="K8">
        <v>9.9</v>
      </c>
      <c r="L8">
        <v>9.9</v>
      </c>
      <c r="M8">
        <v>9.9</v>
      </c>
      <c r="N8">
        <v>9.9</v>
      </c>
      <c r="O8">
        <v>9.9</v>
      </c>
      <c r="P8">
        <v>9.9</v>
      </c>
      <c r="R8">
        <v>9.9</v>
      </c>
      <c r="S8">
        <v>9.9</v>
      </c>
      <c r="T8" s="8"/>
    </row>
    <row r="9" spans="1:20" x14ac:dyDescent="0.25">
      <c r="A9" s="5" t="s">
        <v>27</v>
      </c>
      <c r="C9">
        <v>12.2</v>
      </c>
      <c r="D9">
        <v>12</v>
      </c>
      <c r="E9">
        <v>11.6</v>
      </c>
      <c r="F9">
        <v>12.6</v>
      </c>
      <c r="G9">
        <v>12.6</v>
      </c>
      <c r="H9">
        <v>13.6</v>
      </c>
      <c r="I9">
        <v>12.5</v>
      </c>
      <c r="J9">
        <v>13.4</v>
      </c>
      <c r="K9">
        <v>13.6</v>
      </c>
      <c r="L9">
        <v>13.6</v>
      </c>
      <c r="M9">
        <v>13.7</v>
      </c>
      <c r="N9">
        <v>13.7</v>
      </c>
      <c r="O9">
        <v>13.7</v>
      </c>
      <c r="P9">
        <v>13.5</v>
      </c>
      <c r="Q9">
        <v>13.4</v>
      </c>
      <c r="R9">
        <v>13.4</v>
      </c>
      <c r="S9">
        <v>13.3</v>
      </c>
      <c r="T9" s="8">
        <v>13.4</v>
      </c>
    </row>
    <row r="10" spans="1:20" x14ac:dyDescent="0.25">
      <c r="A10" s="5" t="s">
        <v>28</v>
      </c>
      <c r="C10">
        <v>2.9</v>
      </c>
      <c r="E10">
        <v>2.9</v>
      </c>
      <c r="I10">
        <v>3.5</v>
      </c>
      <c r="J10">
        <v>3.5</v>
      </c>
      <c r="K10">
        <v>3.7</v>
      </c>
      <c r="L10">
        <v>6.1</v>
      </c>
      <c r="M10">
        <v>6.2</v>
      </c>
      <c r="N10">
        <v>6</v>
      </c>
      <c r="O10">
        <v>6.5</v>
      </c>
      <c r="P10">
        <v>6.3</v>
      </c>
      <c r="R10">
        <v>6.3</v>
      </c>
      <c r="S10">
        <v>6.3</v>
      </c>
      <c r="T10" s="8">
        <v>6.3</v>
      </c>
    </row>
    <row r="11" spans="1:20" x14ac:dyDescent="0.25">
      <c r="A11" s="5" t="s">
        <v>29</v>
      </c>
      <c r="C11">
        <v>3.5</v>
      </c>
      <c r="D11">
        <v>3.5</v>
      </c>
      <c r="E11">
        <v>3.5</v>
      </c>
      <c r="F11">
        <v>3.5</v>
      </c>
      <c r="G11">
        <v>2.8</v>
      </c>
      <c r="H11">
        <v>2.8</v>
      </c>
      <c r="I11">
        <v>2.7</v>
      </c>
      <c r="J11">
        <v>2.7</v>
      </c>
      <c r="K11">
        <v>2.7</v>
      </c>
      <c r="L11">
        <v>2.5</v>
      </c>
      <c r="M11">
        <v>2.5</v>
      </c>
      <c r="N11">
        <v>2.5</v>
      </c>
      <c r="O11">
        <v>2.5</v>
      </c>
      <c r="P11">
        <v>2.4</v>
      </c>
      <c r="Q11">
        <v>2.4</v>
      </c>
      <c r="R11">
        <v>2.4</v>
      </c>
      <c r="S11">
        <v>2.4</v>
      </c>
      <c r="T11" s="8">
        <v>2.4</v>
      </c>
    </row>
    <row r="12" spans="1:20" x14ac:dyDescent="0.25">
      <c r="A12" s="5" t="s">
        <v>30</v>
      </c>
      <c r="B12">
        <v>9.6</v>
      </c>
      <c r="D12">
        <v>9.1999999999999993</v>
      </c>
      <c r="E12">
        <v>9.1</v>
      </c>
      <c r="F12">
        <v>9</v>
      </c>
      <c r="H12">
        <v>9</v>
      </c>
      <c r="I12">
        <v>9.1</v>
      </c>
      <c r="J12">
        <v>9</v>
      </c>
      <c r="K12">
        <v>9.1</v>
      </c>
      <c r="L12">
        <v>9.1</v>
      </c>
      <c r="P12">
        <v>8.6999999999999993</v>
      </c>
      <c r="R12">
        <v>8.5</v>
      </c>
      <c r="S12">
        <v>8.1999999999999993</v>
      </c>
      <c r="T12" s="8">
        <v>8.1999999999999993</v>
      </c>
    </row>
    <row r="13" spans="1:20" x14ac:dyDescent="0.25">
      <c r="A13" s="5" t="s">
        <v>31</v>
      </c>
      <c r="C13">
        <v>30.2</v>
      </c>
      <c r="D13">
        <v>29.9</v>
      </c>
      <c r="F13">
        <v>35.799999999999997</v>
      </c>
      <c r="G13">
        <v>35.9</v>
      </c>
      <c r="H13">
        <v>35.9</v>
      </c>
      <c r="J13">
        <v>35.200000000000003</v>
      </c>
      <c r="K13">
        <v>35.1</v>
      </c>
      <c r="L13">
        <v>33.9</v>
      </c>
      <c r="M13">
        <v>33.200000000000003</v>
      </c>
      <c r="O13">
        <v>32.5</v>
      </c>
      <c r="T13" s="8"/>
    </row>
    <row r="14" spans="1:20" x14ac:dyDescent="0.25">
      <c r="A14" s="5" t="s">
        <v>32</v>
      </c>
      <c r="C14">
        <v>5.0999999999999996</v>
      </c>
      <c r="D14">
        <v>5</v>
      </c>
      <c r="E14">
        <v>5.2</v>
      </c>
      <c r="F14">
        <v>5.0999999999999996</v>
      </c>
      <c r="H14">
        <v>5.0999999999999996</v>
      </c>
      <c r="I14">
        <v>5</v>
      </c>
      <c r="J14">
        <v>4.7</v>
      </c>
      <c r="K14">
        <v>4.7</v>
      </c>
      <c r="L14">
        <v>4.7</v>
      </c>
      <c r="M14">
        <v>4.7</v>
      </c>
      <c r="N14">
        <v>4.8</v>
      </c>
      <c r="O14">
        <v>5.3</v>
      </c>
      <c r="P14">
        <v>4.8</v>
      </c>
      <c r="Q14">
        <v>4.8</v>
      </c>
      <c r="R14">
        <v>4.8</v>
      </c>
      <c r="S14">
        <v>4.5</v>
      </c>
      <c r="T14" s="8">
        <v>4.5</v>
      </c>
    </row>
    <row r="15" spans="1:20" x14ac:dyDescent="0.25">
      <c r="A15" s="5" t="s">
        <v>33</v>
      </c>
      <c r="C15">
        <v>15.2</v>
      </c>
      <c r="D15">
        <v>14.6</v>
      </c>
      <c r="E15">
        <v>14.8</v>
      </c>
      <c r="H15">
        <v>14.4</v>
      </c>
      <c r="J15">
        <v>13.9</v>
      </c>
      <c r="L15">
        <v>13.9</v>
      </c>
      <c r="M15">
        <v>13.9</v>
      </c>
      <c r="O15">
        <v>14</v>
      </c>
      <c r="P15">
        <v>14</v>
      </c>
      <c r="R15">
        <v>14</v>
      </c>
      <c r="S15">
        <v>14.1</v>
      </c>
      <c r="T15" s="8">
        <v>14.1</v>
      </c>
    </row>
    <row r="16" spans="1:20" x14ac:dyDescent="0.25">
      <c r="A16" s="5" t="s">
        <v>34</v>
      </c>
      <c r="C16">
        <v>13.5</v>
      </c>
      <c r="D16">
        <v>13.5</v>
      </c>
      <c r="H16">
        <v>10.7</v>
      </c>
      <c r="I16">
        <v>12.3</v>
      </c>
      <c r="J16">
        <v>10.7</v>
      </c>
      <c r="R16">
        <v>11.7</v>
      </c>
      <c r="S16">
        <v>13.9</v>
      </c>
      <c r="T16" s="8"/>
    </row>
    <row r="17" spans="1:20" x14ac:dyDescent="0.25">
      <c r="A17" s="5" t="s">
        <v>35</v>
      </c>
      <c r="D17">
        <v>11.3</v>
      </c>
      <c r="E17">
        <v>10.8</v>
      </c>
      <c r="F17">
        <v>10.6</v>
      </c>
      <c r="G17">
        <v>9.5</v>
      </c>
      <c r="H17">
        <v>9.8000000000000007</v>
      </c>
      <c r="I17">
        <v>9.6999999999999993</v>
      </c>
      <c r="J17">
        <v>9.1999999999999993</v>
      </c>
      <c r="K17">
        <v>8.4</v>
      </c>
      <c r="L17">
        <v>7.8</v>
      </c>
      <c r="M17">
        <v>7.2</v>
      </c>
      <c r="N17">
        <v>6.8</v>
      </c>
      <c r="O17">
        <v>6.8</v>
      </c>
      <c r="P17">
        <v>6.8</v>
      </c>
      <c r="R17">
        <v>6.7</v>
      </c>
      <c r="S17">
        <v>6.6</v>
      </c>
      <c r="T17" s="8">
        <v>6.6</v>
      </c>
    </row>
    <row r="18" spans="1:20" x14ac:dyDescent="0.25">
      <c r="A18" s="5" t="s">
        <v>36</v>
      </c>
      <c r="C18">
        <v>10.8</v>
      </c>
      <c r="D18">
        <v>10.8</v>
      </c>
      <c r="E18">
        <v>10.8</v>
      </c>
      <c r="F18">
        <v>11</v>
      </c>
      <c r="G18">
        <v>11</v>
      </c>
      <c r="H18">
        <v>11</v>
      </c>
      <c r="I18">
        <v>10.8</v>
      </c>
      <c r="J18">
        <v>11.1</v>
      </c>
      <c r="K18">
        <v>11.6</v>
      </c>
      <c r="L18">
        <v>10.9</v>
      </c>
      <c r="M18">
        <v>10.9</v>
      </c>
      <c r="N18">
        <v>11.7</v>
      </c>
      <c r="O18">
        <v>11.9</v>
      </c>
      <c r="P18">
        <v>11.9</v>
      </c>
      <c r="R18">
        <v>11.9</v>
      </c>
      <c r="T18" s="8">
        <v>11.9</v>
      </c>
    </row>
    <row r="19" spans="1:20" x14ac:dyDescent="0.25">
      <c r="A19" s="5" t="s">
        <v>37</v>
      </c>
      <c r="C19">
        <v>12</v>
      </c>
      <c r="D19">
        <v>11.9</v>
      </c>
      <c r="E19">
        <v>11.9</v>
      </c>
      <c r="F19">
        <v>11.9</v>
      </c>
      <c r="G19">
        <v>11.9</v>
      </c>
      <c r="H19">
        <v>11.9</v>
      </c>
      <c r="I19">
        <v>11.9</v>
      </c>
      <c r="J19">
        <v>11.9</v>
      </c>
      <c r="K19">
        <v>11.9</v>
      </c>
      <c r="L19">
        <v>12.2</v>
      </c>
      <c r="M19">
        <v>12.2</v>
      </c>
      <c r="N19">
        <v>12.2</v>
      </c>
      <c r="O19">
        <v>12.2</v>
      </c>
      <c r="P19">
        <v>12.1</v>
      </c>
      <c r="Q19">
        <v>12.1</v>
      </c>
      <c r="R19">
        <v>12.1</v>
      </c>
      <c r="S19">
        <v>12</v>
      </c>
      <c r="T19" s="8">
        <v>12</v>
      </c>
    </row>
    <row r="20" spans="1:20" x14ac:dyDescent="0.25">
      <c r="A20" s="5" t="s">
        <v>38</v>
      </c>
      <c r="B20">
        <v>18.3</v>
      </c>
      <c r="D20">
        <v>18.399999999999999</v>
      </c>
      <c r="E20">
        <v>18.100000000000001</v>
      </c>
      <c r="F20">
        <v>17.8</v>
      </c>
      <c r="G20">
        <v>17.8</v>
      </c>
      <c r="T20" s="8"/>
    </row>
    <row r="21" spans="1:20" x14ac:dyDescent="0.25">
      <c r="A21" s="5" t="s">
        <v>39</v>
      </c>
      <c r="B21">
        <v>22.1</v>
      </c>
      <c r="D21">
        <v>21.9</v>
      </c>
      <c r="L21">
        <v>22.3</v>
      </c>
      <c r="P21">
        <v>22.1</v>
      </c>
      <c r="R21">
        <v>9.6999999999999993</v>
      </c>
      <c r="S21">
        <v>9.8000000000000007</v>
      </c>
      <c r="T21" s="8">
        <v>9.3000000000000007</v>
      </c>
    </row>
    <row r="22" spans="1:20" x14ac:dyDescent="0.25">
      <c r="A22" s="5" t="s">
        <v>40</v>
      </c>
      <c r="C22">
        <v>8.3000000000000007</v>
      </c>
      <c r="D22">
        <v>8.3000000000000007</v>
      </c>
      <c r="E22">
        <v>8.3000000000000007</v>
      </c>
      <c r="F22">
        <v>10.3</v>
      </c>
      <c r="G22">
        <v>11.2</v>
      </c>
      <c r="H22">
        <v>11.2</v>
      </c>
      <c r="I22">
        <v>11.2</v>
      </c>
      <c r="J22">
        <v>11.6</v>
      </c>
      <c r="K22">
        <v>11.6</v>
      </c>
      <c r="L22">
        <v>11.6</v>
      </c>
      <c r="M22">
        <v>11.7</v>
      </c>
      <c r="N22">
        <v>11.8</v>
      </c>
      <c r="O22">
        <v>11.8</v>
      </c>
      <c r="P22">
        <v>11.8</v>
      </c>
      <c r="Q22">
        <v>11.8</v>
      </c>
      <c r="R22">
        <v>11.8</v>
      </c>
      <c r="S22">
        <v>11.7</v>
      </c>
      <c r="T22" s="8">
        <v>11.8</v>
      </c>
    </row>
    <row r="23" spans="1:20" x14ac:dyDescent="0.25">
      <c r="A23" s="5" t="s">
        <v>41</v>
      </c>
      <c r="C23">
        <v>7.2</v>
      </c>
      <c r="D23">
        <v>7</v>
      </c>
      <c r="E23">
        <v>6.8</v>
      </c>
      <c r="F23">
        <v>6.6</v>
      </c>
      <c r="G23">
        <v>6.5</v>
      </c>
      <c r="H23">
        <v>6.6</v>
      </c>
      <c r="I23">
        <v>6.6</v>
      </c>
      <c r="J23">
        <v>6.4</v>
      </c>
      <c r="K23">
        <v>6.4</v>
      </c>
      <c r="L23">
        <v>6.3</v>
      </c>
      <c r="M23">
        <v>6.3</v>
      </c>
      <c r="N23">
        <v>6.3</v>
      </c>
      <c r="O23">
        <v>6.3</v>
      </c>
      <c r="P23">
        <v>6.3</v>
      </c>
      <c r="R23">
        <v>6.4</v>
      </c>
      <c r="S23">
        <v>6.2</v>
      </c>
      <c r="T23" s="8">
        <v>6.2</v>
      </c>
    </row>
    <row r="24" spans="1:20" x14ac:dyDescent="0.25">
      <c r="A24" s="5" t="s">
        <v>42</v>
      </c>
      <c r="C24">
        <v>8</v>
      </c>
      <c r="D24">
        <v>7.8</v>
      </c>
      <c r="E24">
        <v>7.8</v>
      </c>
      <c r="F24">
        <v>7.7</v>
      </c>
      <c r="G24">
        <v>7.7</v>
      </c>
      <c r="H24">
        <v>7.7</v>
      </c>
      <c r="I24">
        <v>7.5</v>
      </c>
      <c r="J24">
        <v>7.6</v>
      </c>
      <c r="K24">
        <v>7.6</v>
      </c>
      <c r="L24">
        <v>7.6</v>
      </c>
      <c r="M24">
        <v>7.6</v>
      </c>
      <c r="N24">
        <v>7.6</v>
      </c>
      <c r="O24">
        <v>7.7</v>
      </c>
      <c r="P24">
        <v>7.7</v>
      </c>
      <c r="Q24">
        <v>7.7</v>
      </c>
      <c r="R24">
        <v>7.7</v>
      </c>
      <c r="S24">
        <v>7.6</v>
      </c>
      <c r="T24" s="8">
        <v>7.5</v>
      </c>
    </row>
    <row r="25" spans="1:20" x14ac:dyDescent="0.25">
      <c r="A25" s="5" t="s">
        <v>43</v>
      </c>
      <c r="C25">
        <v>12.3</v>
      </c>
      <c r="D25">
        <v>12.2</v>
      </c>
      <c r="E25">
        <v>13.6</v>
      </c>
      <c r="F25">
        <v>13.6</v>
      </c>
      <c r="G25">
        <v>13.7</v>
      </c>
      <c r="H25">
        <v>13.7</v>
      </c>
      <c r="I25">
        <v>13.5</v>
      </c>
      <c r="J25">
        <v>13.5</v>
      </c>
      <c r="K25">
        <v>13.5</v>
      </c>
      <c r="L25">
        <v>13.5</v>
      </c>
      <c r="M25">
        <v>13.5</v>
      </c>
      <c r="N25">
        <v>13.4</v>
      </c>
      <c r="O25">
        <v>13.4</v>
      </c>
      <c r="P25">
        <v>13.4</v>
      </c>
      <c r="Q25">
        <v>13.3</v>
      </c>
      <c r="R25">
        <v>13.3</v>
      </c>
      <c r="S25">
        <v>11.1</v>
      </c>
      <c r="T25" s="8">
        <v>11.2</v>
      </c>
    </row>
    <row r="26" spans="1:20" x14ac:dyDescent="0.25">
      <c r="A26" s="5" t="s">
        <v>44</v>
      </c>
      <c r="C26">
        <v>3.3</v>
      </c>
      <c r="D26">
        <v>3.6</v>
      </c>
      <c r="E26">
        <v>2.5</v>
      </c>
      <c r="G26">
        <v>2.5</v>
      </c>
      <c r="H26">
        <v>2.5</v>
      </c>
      <c r="K26">
        <v>1.2</v>
      </c>
      <c r="M26">
        <v>1.2</v>
      </c>
      <c r="N26">
        <v>0.3</v>
      </c>
      <c r="O26">
        <v>0.3</v>
      </c>
      <c r="P26">
        <v>0.3</v>
      </c>
      <c r="R26">
        <v>0.3</v>
      </c>
      <c r="S26">
        <v>0.2</v>
      </c>
      <c r="T26" s="8">
        <v>0.5</v>
      </c>
    </row>
    <row r="27" spans="1:20" x14ac:dyDescent="0.25">
      <c r="A27" s="5" t="s">
        <v>45</v>
      </c>
      <c r="C27">
        <v>10.4</v>
      </c>
      <c r="T27" s="8"/>
    </row>
    <row r="28" spans="1:20" x14ac:dyDescent="0.25">
      <c r="A28" s="5" t="s">
        <v>46</v>
      </c>
      <c r="C28">
        <v>12</v>
      </c>
      <c r="D28">
        <v>11.9</v>
      </c>
      <c r="E28">
        <v>11.9</v>
      </c>
      <c r="F28">
        <v>11.9</v>
      </c>
      <c r="G28">
        <v>11.9</v>
      </c>
      <c r="H28">
        <v>11.9</v>
      </c>
      <c r="I28">
        <v>11.9</v>
      </c>
      <c r="J28">
        <v>11.9</v>
      </c>
      <c r="K28">
        <v>11.9</v>
      </c>
      <c r="L28">
        <v>12.2</v>
      </c>
      <c r="M28">
        <v>12.2</v>
      </c>
      <c r="N28">
        <v>12.2</v>
      </c>
      <c r="O28">
        <v>12.2</v>
      </c>
      <c r="P28">
        <v>12.1</v>
      </c>
      <c r="Q28">
        <v>12.1</v>
      </c>
      <c r="R28">
        <v>12.1</v>
      </c>
      <c r="S28">
        <v>12</v>
      </c>
      <c r="T28" s="8">
        <v>12</v>
      </c>
    </row>
    <row r="29" spans="1:20" x14ac:dyDescent="0.25">
      <c r="A29" s="5" t="s">
        <v>47</v>
      </c>
      <c r="C29">
        <v>12.7</v>
      </c>
      <c r="D29">
        <v>12.7</v>
      </c>
      <c r="E29">
        <v>12.7</v>
      </c>
      <c r="G29">
        <v>12.5</v>
      </c>
      <c r="H29">
        <v>12.5</v>
      </c>
      <c r="I29">
        <v>12.8</v>
      </c>
      <c r="J29">
        <v>12.8</v>
      </c>
      <c r="K29">
        <v>12.8</v>
      </c>
      <c r="L29">
        <v>12.8</v>
      </c>
      <c r="M29">
        <v>12.8</v>
      </c>
      <c r="N29">
        <v>12.8</v>
      </c>
      <c r="O29">
        <v>12.8</v>
      </c>
      <c r="P29">
        <v>12.8</v>
      </c>
      <c r="Q29">
        <v>12.8</v>
      </c>
      <c r="R29">
        <v>12.8</v>
      </c>
      <c r="S29">
        <v>13.6</v>
      </c>
      <c r="T29" s="8">
        <v>14</v>
      </c>
    </row>
    <row r="30" spans="1:20" x14ac:dyDescent="0.25">
      <c r="A30" s="5" t="s">
        <v>48</v>
      </c>
      <c r="B30">
        <v>10.4</v>
      </c>
      <c r="D30">
        <v>10.4</v>
      </c>
      <c r="E30">
        <v>10.4</v>
      </c>
      <c r="F30">
        <v>10.4</v>
      </c>
      <c r="G30">
        <v>10.199999999999999</v>
      </c>
      <c r="H30">
        <v>10.199999999999999</v>
      </c>
      <c r="I30">
        <v>10.1</v>
      </c>
      <c r="J30">
        <v>10.1</v>
      </c>
      <c r="K30">
        <v>10.1</v>
      </c>
      <c r="L30">
        <v>10</v>
      </c>
      <c r="N30">
        <v>10</v>
      </c>
      <c r="P30">
        <v>10.199999999999999</v>
      </c>
      <c r="Q30">
        <v>10.199999999999999</v>
      </c>
      <c r="R30">
        <v>10.199999999999999</v>
      </c>
      <c r="S30">
        <v>11.9</v>
      </c>
      <c r="T30" s="8">
        <v>11.9</v>
      </c>
    </row>
    <row r="31" spans="1:20" x14ac:dyDescent="0.25">
      <c r="A31" s="5" t="s">
        <v>49</v>
      </c>
      <c r="C31">
        <v>14.3</v>
      </c>
      <c r="D31">
        <v>14.2</v>
      </c>
      <c r="E31">
        <v>14.2</v>
      </c>
      <c r="H31">
        <v>10.9</v>
      </c>
      <c r="I31">
        <v>10.9</v>
      </c>
      <c r="K31">
        <v>11.2</v>
      </c>
      <c r="M31">
        <v>11.2</v>
      </c>
      <c r="N31">
        <v>11.1</v>
      </c>
      <c r="Q31">
        <v>10.3</v>
      </c>
      <c r="R31">
        <v>10.199999999999999</v>
      </c>
      <c r="S31">
        <v>10.199999999999999</v>
      </c>
      <c r="T31" s="8">
        <v>9.4</v>
      </c>
    </row>
    <row r="32" spans="1:20" x14ac:dyDescent="0.25">
      <c r="A32" s="5" t="s">
        <v>50</v>
      </c>
      <c r="B32">
        <v>18</v>
      </c>
      <c r="D32">
        <v>17.899999999999999</v>
      </c>
      <c r="E32">
        <v>17.8</v>
      </c>
      <c r="F32">
        <v>17.8</v>
      </c>
      <c r="H32">
        <v>17.899999999999999</v>
      </c>
      <c r="I32">
        <v>17.8</v>
      </c>
      <c r="J32">
        <v>18</v>
      </c>
      <c r="K32">
        <v>18.2</v>
      </c>
      <c r="P32">
        <v>18.2</v>
      </c>
      <c r="S32">
        <v>18.100000000000001</v>
      </c>
      <c r="T32" s="8">
        <v>18.100000000000001</v>
      </c>
    </row>
    <row r="33" spans="1:20" x14ac:dyDescent="0.25">
      <c r="A33" s="5" t="s">
        <v>51</v>
      </c>
      <c r="C33">
        <v>5.5</v>
      </c>
      <c r="D33">
        <v>5.5</v>
      </c>
      <c r="E33">
        <v>4.7</v>
      </c>
      <c r="F33">
        <v>4.5</v>
      </c>
      <c r="G33">
        <v>3.7</v>
      </c>
      <c r="H33">
        <v>4.5</v>
      </c>
      <c r="I33">
        <v>4.3</v>
      </c>
      <c r="J33">
        <v>4.2</v>
      </c>
      <c r="K33">
        <v>4.2</v>
      </c>
      <c r="L33">
        <v>4.2</v>
      </c>
      <c r="M33">
        <v>4.0999999999999996</v>
      </c>
      <c r="N33">
        <v>4</v>
      </c>
      <c r="O33">
        <v>4</v>
      </c>
      <c r="P33">
        <v>3.9</v>
      </c>
      <c r="Q33">
        <v>3.9</v>
      </c>
      <c r="R33">
        <v>4</v>
      </c>
      <c r="S33">
        <v>3.8</v>
      </c>
      <c r="T33" s="8">
        <v>3.8</v>
      </c>
    </row>
    <row r="34" spans="1:20" x14ac:dyDescent="0.25">
      <c r="A34" s="5" t="s">
        <v>52</v>
      </c>
      <c r="B34">
        <v>18</v>
      </c>
      <c r="D34">
        <v>17.899999999999999</v>
      </c>
      <c r="F34">
        <v>17.899999999999999</v>
      </c>
      <c r="H34">
        <v>17.899999999999999</v>
      </c>
      <c r="J34">
        <v>18</v>
      </c>
      <c r="L34">
        <v>18</v>
      </c>
      <c r="M34">
        <v>18</v>
      </c>
      <c r="N34">
        <v>18</v>
      </c>
      <c r="S34">
        <v>18.100000000000001</v>
      </c>
      <c r="T34" s="8">
        <v>18.100000000000001</v>
      </c>
    </row>
    <row r="35" spans="1:20" x14ac:dyDescent="0.25">
      <c r="A35" s="5" t="s">
        <v>53</v>
      </c>
      <c r="B35">
        <v>18</v>
      </c>
      <c r="D35">
        <v>17.899999999999999</v>
      </c>
      <c r="F35">
        <v>17.899999999999999</v>
      </c>
      <c r="H35">
        <v>17.899999999999999</v>
      </c>
      <c r="J35">
        <v>18</v>
      </c>
      <c r="L35">
        <v>17.899999999999999</v>
      </c>
      <c r="M35">
        <v>17.899999999999999</v>
      </c>
      <c r="S35">
        <v>18.100000000000001</v>
      </c>
      <c r="T35" s="8">
        <v>18.100000000000001</v>
      </c>
    </row>
    <row r="36" spans="1:20" x14ac:dyDescent="0.25">
      <c r="A36" s="5" t="s">
        <v>54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 s="8">
        <v>6</v>
      </c>
    </row>
    <row r="37" spans="1:20" x14ac:dyDescent="0.25">
      <c r="A37" s="5" t="s">
        <v>55</v>
      </c>
      <c r="C37">
        <v>9.9</v>
      </c>
      <c r="D37">
        <v>9.9</v>
      </c>
      <c r="E37">
        <v>9.6</v>
      </c>
      <c r="F37">
        <v>9.6</v>
      </c>
      <c r="G37">
        <v>9.6999999999999993</v>
      </c>
      <c r="H37">
        <v>9.6</v>
      </c>
      <c r="J37">
        <v>9.9</v>
      </c>
      <c r="K37">
        <v>9.6</v>
      </c>
      <c r="L37">
        <v>9.9</v>
      </c>
      <c r="M37">
        <v>9.9</v>
      </c>
      <c r="N37">
        <v>9.8000000000000007</v>
      </c>
      <c r="O37">
        <v>9.8000000000000007</v>
      </c>
      <c r="P37">
        <v>7.6</v>
      </c>
      <c r="Q37">
        <v>7.5</v>
      </c>
      <c r="R37">
        <v>7.5</v>
      </c>
      <c r="S37">
        <v>7.5</v>
      </c>
      <c r="T37" s="8">
        <v>7.5</v>
      </c>
    </row>
    <row r="38" spans="1:20" x14ac:dyDescent="0.25">
      <c r="A38" s="5" t="s">
        <v>56</v>
      </c>
      <c r="C38">
        <v>12.5</v>
      </c>
      <c r="D38">
        <v>12.5</v>
      </c>
      <c r="E38">
        <v>12.5</v>
      </c>
      <c r="F38">
        <v>12.5</v>
      </c>
      <c r="G38">
        <v>12.5</v>
      </c>
      <c r="H38">
        <v>8.3000000000000007</v>
      </c>
      <c r="I38">
        <v>8.8000000000000007</v>
      </c>
      <c r="J38">
        <v>8.8000000000000007</v>
      </c>
      <c r="K38">
        <v>5.8</v>
      </c>
      <c r="L38">
        <v>5.7</v>
      </c>
      <c r="M38">
        <v>6.6</v>
      </c>
      <c r="N38">
        <v>5.7</v>
      </c>
      <c r="O38">
        <v>5.5</v>
      </c>
      <c r="P38">
        <v>5.4</v>
      </c>
      <c r="Q38">
        <v>5.8</v>
      </c>
      <c r="R38">
        <v>5.8</v>
      </c>
      <c r="S38">
        <v>5.8</v>
      </c>
      <c r="T38" s="8">
        <v>6.7</v>
      </c>
    </row>
    <row r="39" spans="1:20" x14ac:dyDescent="0.25">
      <c r="A39" s="5" t="s">
        <v>57</v>
      </c>
      <c r="C39">
        <v>28.9</v>
      </c>
      <c r="E39">
        <v>11.3</v>
      </c>
      <c r="G39">
        <v>11.3</v>
      </c>
      <c r="H39">
        <v>11.3</v>
      </c>
      <c r="I39">
        <v>8.8000000000000007</v>
      </c>
      <c r="J39">
        <v>15.3</v>
      </c>
      <c r="K39">
        <v>15.3</v>
      </c>
      <c r="L39">
        <v>15.3</v>
      </c>
      <c r="N39">
        <v>15.4</v>
      </c>
      <c r="O39">
        <v>15.4</v>
      </c>
      <c r="P39">
        <v>15.8</v>
      </c>
      <c r="R39">
        <v>15.1</v>
      </c>
      <c r="S39">
        <v>15.1</v>
      </c>
      <c r="T39" s="8"/>
    </row>
    <row r="40" spans="1:20" x14ac:dyDescent="0.25">
      <c r="A40" s="5" t="s">
        <v>58</v>
      </c>
      <c r="C40">
        <v>18.399999999999999</v>
      </c>
      <c r="D40">
        <v>17.899999999999999</v>
      </c>
      <c r="H40">
        <v>17.899999999999999</v>
      </c>
      <c r="J40">
        <v>18</v>
      </c>
      <c r="K40">
        <v>18.100000000000001</v>
      </c>
      <c r="L40">
        <v>11.9</v>
      </c>
      <c r="S40">
        <v>18.100000000000001</v>
      </c>
      <c r="T40" s="8">
        <v>18.100000000000001</v>
      </c>
    </row>
    <row r="41" spans="1:20" x14ac:dyDescent="0.25">
      <c r="A41" s="5" t="s">
        <v>59</v>
      </c>
      <c r="G41">
        <v>3</v>
      </c>
      <c r="I41">
        <v>3.1</v>
      </c>
      <c r="J41">
        <v>3.3</v>
      </c>
      <c r="L41">
        <v>3.4</v>
      </c>
      <c r="M41">
        <v>3.4</v>
      </c>
      <c r="N41">
        <v>3.3</v>
      </c>
      <c r="O41">
        <v>3.3</v>
      </c>
      <c r="P41">
        <v>3.4</v>
      </c>
      <c r="R41">
        <v>3.5</v>
      </c>
      <c r="S41">
        <v>3.3</v>
      </c>
      <c r="T41" s="8">
        <v>3.4</v>
      </c>
    </row>
    <row r="42" spans="1:20" x14ac:dyDescent="0.25">
      <c r="A42" s="5" t="s">
        <v>60</v>
      </c>
      <c r="B42">
        <v>5.9</v>
      </c>
      <c r="D42">
        <v>5.5</v>
      </c>
      <c r="E42">
        <v>6.4</v>
      </c>
      <c r="F42">
        <v>5.4</v>
      </c>
      <c r="G42">
        <v>5.4</v>
      </c>
      <c r="H42">
        <v>5.3</v>
      </c>
      <c r="I42">
        <v>5.6</v>
      </c>
      <c r="J42">
        <v>5.6</v>
      </c>
      <c r="K42">
        <v>5.6</v>
      </c>
      <c r="M42">
        <v>5.6</v>
      </c>
      <c r="N42">
        <v>5.6</v>
      </c>
      <c r="O42">
        <v>5.6</v>
      </c>
      <c r="P42">
        <v>5.6</v>
      </c>
      <c r="Q42">
        <v>5.6</v>
      </c>
      <c r="R42">
        <v>5.6</v>
      </c>
      <c r="S42">
        <v>5.5</v>
      </c>
      <c r="T42" s="8">
        <v>5.5</v>
      </c>
    </row>
    <row r="43" spans="1:20" x14ac:dyDescent="0.25">
      <c r="A43" s="5" t="s">
        <v>61</v>
      </c>
      <c r="C43">
        <v>12</v>
      </c>
      <c r="D43">
        <v>11.9</v>
      </c>
      <c r="E43">
        <v>11.9</v>
      </c>
      <c r="F43">
        <v>11.9</v>
      </c>
      <c r="G43">
        <v>11.9</v>
      </c>
      <c r="H43">
        <v>11.9</v>
      </c>
      <c r="I43">
        <v>11.9</v>
      </c>
      <c r="J43">
        <v>11.9</v>
      </c>
      <c r="K43">
        <v>11.9</v>
      </c>
      <c r="L43">
        <v>12.2</v>
      </c>
      <c r="M43">
        <v>12.2</v>
      </c>
      <c r="N43">
        <v>12.2</v>
      </c>
      <c r="O43">
        <v>12.2</v>
      </c>
      <c r="P43">
        <v>12.1</v>
      </c>
      <c r="Q43">
        <v>12.1</v>
      </c>
      <c r="R43">
        <v>12.1</v>
      </c>
      <c r="S43">
        <v>12.1</v>
      </c>
      <c r="T43" s="8">
        <v>12.1</v>
      </c>
    </row>
    <row r="44" spans="1:20" x14ac:dyDescent="0.25">
      <c r="A44" s="5" t="s">
        <v>62</v>
      </c>
      <c r="C44">
        <v>4.9000000000000004</v>
      </c>
      <c r="D44">
        <v>5</v>
      </c>
      <c r="E44">
        <v>4.8</v>
      </c>
      <c r="F44">
        <v>4.9000000000000004</v>
      </c>
      <c r="G44">
        <v>4.8</v>
      </c>
      <c r="H44">
        <v>4.9000000000000004</v>
      </c>
      <c r="I44">
        <v>5</v>
      </c>
      <c r="T44" s="8"/>
    </row>
    <row r="45" spans="1:20" x14ac:dyDescent="0.25">
      <c r="A45" s="5" t="s">
        <v>63</v>
      </c>
      <c r="C45">
        <v>10.8</v>
      </c>
      <c r="D45">
        <v>10.8</v>
      </c>
      <c r="E45">
        <v>10.7</v>
      </c>
      <c r="F45">
        <v>10.7</v>
      </c>
      <c r="G45">
        <v>10.7</v>
      </c>
      <c r="H45">
        <v>10.7</v>
      </c>
      <c r="I45">
        <v>10.7</v>
      </c>
      <c r="J45">
        <v>10.3</v>
      </c>
      <c r="K45">
        <v>10.6</v>
      </c>
      <c r="L45">
        <v>10.6</v>
      </c>
      <c r="M45">
        <v>10.199999999999999</v>
      </c>
      <c r="N45">
        <v>10.199999999999999</v>
      </c>
      <c r="P45">
        <v>10.1</v>
      </c>
      <c r="Q45">
        <v>10.1</v>
      </c>
      <c r="R45">
        <v>4.4000000000000004</v>
      </c>
      <c r="S45">
        <v>4.4000000000000004</v>
      </c>
      <c r="T45" s="8">
        <v>4.4000000000000004</v>
      </c>
    </row>
    <row r="46" spans="1:20" x14ac:dyDescent="0.25">
      <c r="A46" s="5" t="s">
        <v>64</v>
      </c>
      <c r="C46">
        <v>12</v>
      </c>
      <c r="D46">
        <v>12</v>
      </c>
      <c r="E46">
        <v>12</v>
      </c>
      <c r="F46">
        <v>12</v>
      </c>
      <c r="G46">
        <v>11</v>
      </c>
      <c r="K46">
        <v>10.9</v>
      </c>
      <c r="L46">
        <v>10.9</v>
      </c>
      <c r="P46">
        <v>10.9</v>
      </c>
      <c r="Q46">
        <v>10.9</v>
      </c>
      <c r="T46" s="8"/>
    </row>
    <row r="47" spans="1:20" x14ac:dyDescent="0.25">
      <c r="A47" s="5" t="s">
        <v>65</v>
      </c>
      <c r="B47">
        <v>28.1</v>
      </c>
      <c r="D47">
        <v>27.8</v>
      </c>
      <c r="E47">
        <v>27.8</v>
      </c>
      <c r="F47">
        <v>20.9</v>
      </c>
      <c r="H47">
        <v>21</v>
      </c>
      <c r="I47">
        <v>21</v>
      </c>
      <c r="K47">
        <v>20.9</v>
      </c>
      <c r="T47" s="8"/>
    </row>
    <row r="48" spans="1:20" x14ac:dyDescent="0.25">
      <c r="A48" s="5" t="s">
        <v>66</v>
      </c>
      <c r="C48">
        <v>9.9</v>
      </c>
      <c r="D48">
        <v>9.9</v>
      </c>
      <c r="H48">
        <v>10.199999999999999</v>
      </c>
      <c r="I48">
        <v>10</v>
      </c>
      <c r="J48">
        <v>10.3</v>
      </c>
      <c r="K48">
        <v>10</v>
      </c>
      <c r="L48">
        <v>10</v>
      </c>
      <c r="M48">
        <v>10</v>
      </c>
      <c r="N48">
        <v>9.9</v>
      </c>
      <c r="Q48">
        <v>10.7</v>
      </c>
      <c r="T48" s="8">
        <v>10.7</v>
      </c>
    </row>
    <row r="49" spans="1:20" x14ac:dyDescent="0.25">
      <c r="A49" s="5" t="s">
        <v>67</v>
      </c>
      <c r="C49">
        <v>8.5</v>
      </c>
      <c r="E49">
        <v>7</v>
      </c>
      <c r="I49">
        <v>7.3</v>
      </c>
      <c r="J49">
        <v>7.3</v>
      </c>
      <c r="K49">
        <v>7.3</v>
      </c>
      <c r="L49">
        <v>7.3</v>
      </c>
      <c r="M49">
        <v>7.3</v>
      </c>
      <c r="N49">
        <v>7.3</v>
      </c>
      <c r="O49">
        <v>7.6</v>
      </c>
      <c r="P49">
        <v>7.6</v>
      </c>
      <c r="R49">
        <v>7.5</v>
      </c>
      <c r="S49">
        <v>7.6</v>
      </c>
      <c r="T49" s="8">
        <v>7.6</v>
      </c>
    </row>
    <row r="50" spans="1:20" x14ac:dyDescent="0.25">
      <c r="A50" s="5" t="s">
        <v>68</v>
      </c>
      <c r="C50">
        <v>11.7</v>
      </c>
      <c r="D50">
        <v>11.7</v>
      </c>
      <c r="E50">
        <v>11.3</v>
      </c>
      <c r="F50">
        <v>11.2</v>
      </c>
      <c r="G50">
        <v>11.2</v>
      </c>
      <c r="H50">
        <v>10.1</v>
      </c>
      <c r="I50">
        <v>10.1</v>
      </c>
      <c r="K50">
        <v>11.9</v>
      </c>
      <c r="L50">
        <v>11.9</v>
      </c>
      <c r="M50">
        <v>12.3</v>
      </c>
      <c r="N50">
        <v>12.2</v>
      </c>
      <c r="O50">
        <v>12.3</v>
      </c>
      <c r="P50">
        <v>12.3</v>
      </c>
      <c r="R50">
        <v>11.2</v>
      </c>
      <c r="S50">
        <v>11.2</v>
      </c>
      <c r="T50" s="8">
        <v>11.1</v>
      </c>
    </row>
    <row r="51" spans="1:20" x14ac:dyDescent="0.25">
      <c r="A51" s="5" t="s">
        <v>69</v>
      </c>
      <c r="B51">
        <v>19.3</v>
      </c>
      <c r="D51">
        <v>16.7</v>
      </c>
      <c r="E51">
        <v>16.7</v>
      </c>
      <c r="F51">
        <v>17</v>
      </c>
      <c r="H51">
        <v>16.8</v>
      </c>
      <c r="I51">
        <v>16.8</v>
      </c>
      <c r="K51">
        <v>16.8</v>
      </c>
      <c r="L51">
        <v>16.8</v>
      </c>
      <c r="M51">
        <v>17.899999999999999</v>
      </c>
      <c r="N51">
        <v>19.100000000000001</v>
      </c>
      <c r="O51">
        <v>19.100000000000001</v>
      </c>
      <c r="P51">
        <v>19</v>
      </c>
      <c r="T51" s="8"/>
    </row>
    <row r="52" spans="1:20" x14ac:dyDescent="0.25">
      <c r="A52" s="5" t="s">
        <v>70</v>
      </c>
      <c r="B52">
        <v>5.9</v>
      </c>
      <c r="D52">
        <v>6.7</v>
      </c>
      <c r="E52">
        <v>5.9</v>
      </c>
      <c r="F52">
        <v>5.9</v>
      </c>
      <c r="G52">
        <v>5.9</v>
      </c>
      <c r="H52">
        <v>5.9</v>
      </c>
      <c r="I52">
        <v>6</v>
      </c>
      <c r="J52">
        <v>6</v>
      </c>
      <c r="K52">
        <v>6</v>
      </c>
      <c r="L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5.9</v>
      </c>
      <c r="T52" s="8">
        <v>5.7</v>
      </c>
    </row>
    <row r="53" spans="1:20" x14ac:dyDescent="0.25">
      <c r="A53" s="5" t="s">
        <v>71</v>
      </c>
      <c r="B53">
        <v>18</v>
      </c>
      <c r="D53">
        <v>17.899999999999999</v>
      </c>
      <c r="T53" s="8"/>
    </row>
    <row r="54" spans="1:20" x14ac:dyDescent="0.25">
      <c r="A54" s="5" t="s">
        <v>72</v>
      </c>
      <c r="C54">
        <v>7.9</v>
      </c>
      <c r="T54" s="8"/>
    </row>
    <row r="55" spans="1:20" x14ac:dyDescent="0.25">
      <c r="A55" s="5" t="s">
        <v>73</v>
      </c>
      <c r="C55">
        <v>8</v>
      </c>
      <c r="D55">
        <v>7.8</v>
      </c>
      <c r="E55">
        <v>7.8</v>
      </c>
      <c r="F55">
        <v>7.7</v>
      </c>
      <c r="G55">
        <v>7.7</v>
      </c>
      <c r="H55">
        <v>7.7</v>
      </c>
      <c r="I55">
        <v>7.6</v>
      </c>
      <c r="J55">
        <v>7.6</v>
      </c>
      <c r="K55">
        <v>7.6</v>
      </c>
      <c r="L55">
        <v>7.6</v>
      </c>
      <c r="M55">
        <v>7.7</v>
      </c>
      <c r="N55">
        <v>7.6</v>
      </c>
      <c r="O55">
        <v>7.7</v>
      </c>
      <c r="P55">
        <v>7.7</v>
      </c>
      <c r="Q55">
        <v>7.7</v>
      </c>
      <c r="R55">
        <v>7.7</v>
      </c>
      <c r="S55">
        <v>7.6</v>
      </c>
      <c r="T55" s="8">
        <v>7.5</v>
      </c>
    </row>
    <row r="56" spans="1:20" x14ac:dyDescent="0.25">
      <c r="A56" s="5" t="s">
        <v>74</v>
      </c>
      <c r="C56">
        <v>16.8</v>
      </c>
      <c r="D56">
        <v>16.8</v>
      </c>
      <c r="E56">
        <v>17.3</v>
      </c>
      <c r="F56">
        <v>17.3</v>
      </c>
      <c r="G56">
        <v>17.3</v>
      </c>
      <c r="H56">
        <v>17.3</v>
      </c>
      <c r="I56">
        <v>17.3</v>
      </c>
      <c r="L56">
        <v>17.399999999999999</v>
      </c>
      <c r="O56">
        <v>17.399999999999999</v>
      </c>
      <c r="R56">
        <v>17</v>
      </c>
      <c r="T56" s="8"/>
    </row>
    <row r="57" spans="1:20" x14ac:dyDescent="0.25">
      <c r="A57" s="5" t="s">
        <v>75</v>
      </c>
      <c r="C57">
        <v>5.4</v>
      </c>
      <c r="D57">
        <v>5.2</v>
      </c>
      <c r="E57">
        <v>5.6</v>
      </c>
      <c r="F57">
        <v>5.3</v>
      </c>
      <c r="G57">
        <v>5.0999999999999996</v>
      </c>
      <c r="H57">
        <v>5.3</v>
      </c>
      <c r="I57">
        <v>5.5</v>
      </c>
      <c r="J57">
        <v>5.5</v>
      </c>
      <c r="K57">
        <v>5.3</v>
      </c>
      <c r="L57">
        <v>5.0999999999999996</v>
      </c>
      <c r="M57">
        <v>5.2</v>
      </c>
      <c r="N57">
        <v>5.0999999999999996</v>
      </c>
      <c r="O57">
        <v>5.2</v>
      </c>
      <c r="P57">
        <v>5.0999999999999996</v>
      </c>
      <c r="Q57">
        <v>5.0999999999999996</v>
      </c>
      <c r="R57">
        <v>5.2</v>
      </c>
      <c r="S57">
        <v>5.0999999999999996</v>
      </c>
      <c r="T57" s="8">
        <v>5</v>
      </c>
    </row>
    <row r="58" spans="1:20" x14ac:dyDescent="0.25">
      <c r="A58" s="5" t="s">
        <v>76</v>
      </c>
      <c r="C58">
        <v>9.6</v>
      </c>
      <c r="E58">
        <v>11.7</v>
      </c>
      <c r="F58">
        <v>12</v>
      </c>
      <c r="G58">
        <v>11.9</v>
      </c>
      <c r="H58">
        <v>12</v>
      </c>
      <c r="I58">
        <v>16.899999999999999</v>
      </c>
      <c r="J58">
        <v>11.4</v>
      </c>
      <c r="K58">
        <v>11.6</v>
      </c>
      <c r="L58">
        <v>11.7</v>
      </c>
      <c r="N58">
        <v>11.1</v>
      </c>
      <c r="O58">
        <v>11.1</v>
      </c>
      <c r="P58">
        <v>11.4</v>
      </c>
      <c r="R58">
        <v>7.9</v>
      </c>
      <c r="S58">
        <v>7.4</v>
      </c>
      <c r="T58" s="8">
        <v>8.1999999999999993</v>
      </c>
    </row>
    <row r="59" spans="1:20" x14ac:dyDescent="0.25">
      <c r="A59" s="5" t="s">
        <v>77</v>
      </c>
      <c r="B59">
        <v>18</v>
      </c>
      <c r="D59">
        <v>17.899999999999999</v>
      </c>
      <c r="E59">
        <v>17.8</v>
      </c>
      <c r="F59">
        <v>17.8</v>
      </c>
      <c r="H59">
        <v>17.899999999999999</v>
      </c>
      <c r="J59">
        <v>18.100000000000001</v>
      </c>
      <c r="K59">
        <v>17.7</v>
      </c>
      <c r="L59">
        <v>17.7</v>
      </c>
      <c r="M59">
        <v>17.7</v>
      </c>
      <c r="P59">
        <v>17.7</v>
      </c>
      <c r="S59">
        <v>18.100000000000001</v>
      </c>
      <c r="T59" s="8">
        <v>18.100000000000001</v>
      </c>
    </row>
    <row r="60" spans="1:20" x14ac:dyDescent="0.25">
      <c r="A60" s="5" t="s">
        <v>78</v>
      </c>
      <c r="D60">
        <v>19</v>
      </c>
      <c r="E60">
        <v>19</v>
      </c>
      <c r="F60">
        <v>18.7</v>
      </c>
      <c r="G60">
        <v>14</v>
      </c>
      <c r="H60">
        <v>14.1</v>
      </c>
      <c r="I60">
        <v>14.1</v>
      </c>
      <c r="J60">
        <v>14.1</v>
      </c>
      <c r="N60">
        <v>12.2</v>
      </c>
      <c r="O60">
        <v>12.2</v>
      </c>
      <c r="P60">
        <v>12.1</v>
      </c>
      <c r="Q60">
        <v>12.1</v>
      </c>
      <c r="R60">
        <v>12.1</v>
      </c>
      <c r="S60">
        <v>12</v>
      </c>
      <c r="T60" s="8">
        <v>12</v>
      </c>
    </row>
    <row r="61" spans="1:20" x14ac:dyDescent="0.25">
      <c r="A61" s="5" t="s">
        <v>79</v>
      </c>
      <c r="C61">
        <v>7</v>
      </c>
      <c r="D61">
        <v>1.4</v>
      </c>
      <c r="E61">
        <v>1.4</v>
      </c>
      <c r="F61">
        <v>1.3</v>
      </c>
      <c r="G61">
        <v>1.3</v>
      </c>
      <c r="H61">
        <v>1.5</v>
      </c>
      <c r="I61">
        <v>1.5</v>
      </c>
      <c r="J61">
        <v>1.4</v>
      </c>
      <c r="K61">
        <v>1.5</v>
      </c>
      <c r="L61">
        <v>1.5</v>
      </c>
      <c r="M61">
        <v>1.5</v>
      </c>
      <c r="N61">
        <v>1.5</v>
      </c>
      <c r="O61">
        <v>1.4</v>
      </c>
      <c r="P61">
        <v>1.4</v>
      </c>
      <c r="Q61">
        <v>1.4</v>
      </c>
      <c r="R61">
        <v>1.4</v>
      </c>
      <c r="S61">
        <v>1.4</v>
      </c>
      <c r="T61" s="8">
        <v>1.5</v>
      </c>
    </row>
    <row r="62" spans="1:20" x14ac:dyDescent="0.25">
      <c r="A62" s="5" t="s">
        <v>80</v>
      </c>
      <c r="D62">
        <v>13</v>
      </c>
      <c r="E62">
        <v>13</v>
      </c>
      <c r="F62">
        <v>13</v>
      </c>
      <c r="G62">
        <v>13</v>
      </c>
      <c r="J62">
        <v>12.9</v>
      </c>
      <c r="M62">
        <v>12.2</v>
      </c>
      <c r="N62">
        <v>12.1</v>
      </c>
      <c r="O62">
        <v>11.9</v>
      </c>
      <c r="P62">
        <v>12.1</v>
      </c>
      <c r="Q62">
        <v>12.1</v>
      </c>
      <c r="R62">
        <v>12.1</v>
      </c>
      <c r="S62">
        <v>12</v>
      </c>
      <c r="T62" s="8">
        <v>12</v>
      </c>
    </row>
    <row r="63" spans="1:20" x14ac:dyDescent="0.25">
      <c r="A63" s="5" t="s">
        <v>81</v>
      </c>
      <c r="C63">
        <v>10.199999999999999</v>
      </c>
      <c r="D63">
        <v>10.199999999999999</v>
      </c>
      <c r="E63">
        <v>10.199999999999999</v>
      </c>
      <c r="G63">
        <v>10.4</v>
      </c>
      <c r="H63">
        <v>10.3</v>
      </c>
      <c r="I63">
        <v>10.4</v>
      </c>
      <c r="J63">
        <v>10.4</v>
      </c>
      <c r="K63">
        <v>10.4</v>
      </c>
      <c r="L63">
        <v>11</v>
      </c>
      <c r="M63">
        <v>11</v>
      </c>
      <c r="P63">
        <v>11</v>
      </c>
      <c r="S63">
        <v>11</v>
      </c>
      <c r="T63" s="8">
        <v>11</v>
      </c>
    </row>
    <row r="64" spans="1:20" x14ac:dyDescent="0.25">
      <c r="A64" s="5" t="s">
        <v>82</v>
      </c>
      <c r="B64">
        <v>5.6</v>
      </c>
      <c r="D64">
        <v>5.6</v>
      </c>
      <c r="E64">
        <v>5.6</v>
      </c>
      <c r="F64">
        <v>5.6</v>
      </c>
      <c r="G64">
        <v>5.6</v>
      </c>
      <c r="H64">
        <v>5.5</v>
      </c>
      <c r="I64">
        <v>5.7</v>
      </c>
      <c r="J64">
        <v>5.6</v>
      </c>
      <c r="K64">
        <v>5.6</v>
      </c>
      <c r="L64">
        <v>5.6</v>
      </c>
      <c r="R64">
        <v>5.6</v>
      </c>
      <c r="S64">
        <v>5.5</v>
      </c>
      <c r="T64" s="8">
        <v>5.6</v>
      </c>
    </row>
    <row r="65" spans="1:20" x14ac:dyDescent="0.25">
      <c r="A65" s="5" t="s">
        <v>83</v>
      </c>
      <c r="B65">
        <v>11.9</v>
      </c>
      <c r="D65">
        <v>11.8</v>
      </c>
      <c r="E65">
        <v>11.8</v>
      </c>
      <c r="F65">
        <v>11.8</v>
      </c>
      <c r="G65">
        <v>11.8</v>
      </c>
      <c r="I65">
        <v>11.9</v>
      </c>
      <c r="N65">
        <v>12.1</v>
      </c>
      <c r="O65">
        <v>12.1</v>
      </c>
      <c r="P65">
        <v>12.1</v>
      </c>
      <c r="Q65">
        <v>12.1</v>
      </c>
      <c r="R65">
        <v>12.1</v>
      </c>
      <c r="S65">
        <v>12</v>
      </c>
      <c r="T65" s="8">
        <v>12</v>
      </c>
    </row>
    <row r="66" spans="1:20" x14ac:dyDescent="0.25">
      <c r="A66" s="5" t="s">
        <v>84</v>
      </c>
      <c r="C66">
        <v>12</v>
      </c>
      <c r="D66">
        <v>11.9</v>
      </c>
      <c r="E66">
        <v>11.9</v>
      </c>
      <c r="F66">
        <v>11.9</v>
      </c>
      <c r="G66">
        <v>11.9</v>
      </c>
      <c r="H66">
        <v>11.9</v>
      </c>
      <c r="I66">
        <v>11.9</v>
      </c>
      <c r="J66">
        <v>11.9</v>
      </c>
      <c r="K66">
        <v>11.9</v>
      </c>
      <c r="N66">
        <v>12.2</v>
      </c>
      <c r="O66">
        <v>12.2</v>
      </c>
      <c r="P66">
        <v>12.1</v>
      </c>
      <c r="Q66">
        <v>12.1</v>
      </c>
      <c r="R66">
        <v>12.1</v>
      </c>
      <c r="S66">
        <v>12</v>
      </c>
      <c r="T66" s="8">
        <v>12</v>
      </c>
    </row>
    <row r="67" spans="1:20" x14ac:dyDescent="0.25">
      <c r="A67" s="5" t="s">
        <v>85</v>
      </c>
      <c r="C67">
        <v>11.1</v>
      </c>
      <c r="E67">
        <v>10.9</v>
      </c>
      <c r="G67">
        <v>10.9</v>
      </c>
      <c r="H67">
        <v>11.1</v>
      </c>
      <c r="I67">
        <v>10.9</v>
      </c>
      <c r="J67">
        <v>11.2</v>
      </c>
      <c r="L67">
        <v>10.9</v>
      </c>
      <c r="M67">
        <v>10.9</v>
      </c>
      <c r="N67">
        <v>10.9</v>
      </c>
      <c r="O67">
        <v>10.9</v>
      </c>
      <c r="P67">
        <v>11.7</v>
      </c>
      <c r="R67">
        <v>11.7</v>
      </c>
      <c r="S67">
        <v>11.7</v>
      </c>
      <c r="T67" s="8">
        <v>11.7</v>
      </c>
    </row>
    <row r="68" spans="1:20" x14ac:dyDescent="0.25">
      <c r="A68" s="5" t="s">
        <v>86</v>
      </c>
      <c r="C68">
        <v>2.8</v>
      </c>
      <c r="D68">
        <v>2.8</v>
      </c>
      <c r="E68">
        <v>2.8</v>
      </c>
      <c r="F68">
        <v>2.8</v>
      </c>
      <c r="G68">
        <v>4.7</v>
      </c>
      <c r="H68">
        <v>4.7</v>
      </c>
      <c r="I68">
        <v>2.8</v>
      </c>
      <c r="J68">
        <v>4.8</v>
      </c>
      <c r="K68">
        <v>4.8</v>
      </c>
      <c r="L68">
        <v>4.8</v>
      </c>
      <c r="M68">
        <v>8.8000000000000007</v>
      </c>
      <c r="Q68">
        <v>4.9000000000000004</v>
      </c>
      <c r="T68" s="8">
        <v>4.9000000000000004</v>
      </c>
    </row>
    <row r="69" spans="1:20" x14ac:dyDescent="0.25">
      <c r="A69" s="5" t="s">
        <v>87</v>
      </c>
      <c r="B69">
        <v>5.6</v>
      </c>
      <c r="D69">
        <v>5.6</v>
      </c>
      <c r="E69">
        <v>5.6</v>
      </c>
      <c r="F69">
        <v>5.6</v>
      </c>
      <c r="H69">
        <v>5.6</v>
      </c>
      <c r="I69">
        <v>5.8</v>
      </c>
      <c r="J69">
        <v>5.7</v>
      </c>
      <c r="K69">
        <v>5.7</v>
      </c>
      <c r="L69">
        <v>5.7</v>
      </c>
      <c r="O69">
        <v>5.7</v>
      </c>
      <c r="P69">
        <v>5.7</v>
      </c>
      <c r="Q69">
        <v>5.8</v>
      </c>
      <c r="R69">
        <v>5.8</v>
      </c>
      <c r="S69">
        <v>5.7</v>
      </c>
      <c r="T69" s="8">
        <v>5.7</v>
      </c>
    </row>
    <row r="70" spans="1:20" x14ac:dyDescent="0.25">
      <c r="A70" s="5" t="s">
        <v>88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8">
        <v>0</v>
      </c>
    </row>
    <row r="71" spans="1:20" x14ac:dyDescent="0.25">
      <c r="A71" s="5" t="s">
        <v>89</v>
      </c>
      <c r="C71">
        <v>7.7</v>
      </c>
      <c r="D71">
        <v>7.3</v>
      </c>
      <c r="E71">
        <v>7.3</v>
      </c>
      <c r="F71">
        <v>5.8</v>
      </c>
      <c r="G71">
        <v>5.5</v>
      </c>
      <c r="H71">
        <v>5.6</v>
      </c>
      <c r="I71">
        <v>5.5</v>
      </c>
      <c r="J71">
        <v>5.4</v>
      </c>
      <c r="K71">
        <v>5.3</v>
      </c>
      <c r="L71">
        <v>5.2</v>
      </c>
      <c r="M71">
        <v>4.7</v>
      </c>
      <c r="N71">
        <v>4</v>
      </c>
      <c r="O71">
        <v>4.3</v>
      </c>
      <c r="P71">
        <v>3.1</v>
      </c>
      <c r="R71">
        <v>3.1</v>
      </c>
      <c r="S71">
        <v>3.3</v>
      </c>
      <c r="T71" s="8">
        <v>3.3</v>
      </c>
    </row>
    <row r="72" spans="1:20" x14ac:dyDescent="0.25">
      <c r="A72" s="5" t="s">
        <v>90</v>
      </c>
      <c r="B72">
        <v>19.2</v>
      </c>
      <c r="D72">
        <v>14.5</v>
      </c>
      <c r="E72">
        <v>13</v>
      </c>
      <c r="F72">
        <v>12.9</v>
      </c>
      <c r="G72">
        <v>12.6</v>
      </c>
      <c r="I72">
        <v>13.7</v>
      </c>
      <c r="J72">
        <v>13.5</v>
      </c>
      <c r="K72">
        <v>13.5</v>
      </c>
      <c r="L72">
        <v>13.4</v>
      </c>
      <c r="M72">
        <v>13.4</v>
      </c>
      <c r="N72">
        <v>13.8</v>
      </c>
      <c r="O72">
        <v>17.100000000000001</v>
      </c>
      <c r="P72">
        <v>17.600000000000001</v>
      </c>
      <c r="Q72">
        <v>15</v>
      </c>
      <c r="R72">
        <v>18.3</v>
      </c>
      <c r="S72">
        <v>18.100000000000001</v>
      </c>
      <c r="T72" s="8">
        <v>17</v>
      </c>
    </row>
    <row r="73" spans="1:20" x14ac:dyDescent="0.25">
      <c r="A73" s="5" t="s">
        <v>91</v>
      </c>
      <c r="C73">
        <v>6.9</v>
      </c>
      <c r="D73">
        <v>6.9</v>
      </c>
      <c r="F73">
        <v>6.8</v>
      </c>
      <c r="G73">
        <v>6.8</v>
      </c>
      <c r="H73">
        <v>7</v>
      </c>
      <c r="I73">
        <v>7</v>
      </c>
      <c r="J73">
        <v>6.8</v>
      </c>
      <c r="K73">
        <v>6.9</v>
      </c>
      <c r="M73">
        <v>7.9</v>
      </c>
      <c r="N73">
        <v>8.1</v>
      </c>
      <c r="O73">
        <v>8.1</v>
      </c>
      <c r="P73">
        <v>8.1</v>
      </c>
      <c r="R73">
        <v>8.1</v>
      </c>
      <c r="S73">
        <v>8</v>
      </c>
      <c r="T73" s="8">
        <v>8</v>
      </c>
    </row>
    <row r="74" spans="1:20" x14ac:dyDescent="0.25">
      <c r="A74" s="5" t="s">
        <v>92</v>
      </c>
      <c r="D74">
        <v>26.2</v>
      </c>
      <c r="E74">
        <v>26</v>
      </c>
      <c r="H74">
        <v>26.6</v>
      </c>
      <c r="P74">
        <v>20.100000000000001</v>
      </c>
      <c r="Q74">
        <v>20.100000000000001</v>
      </c>
      <c r="T74" s="8"/>
    </row>
    <row r="75" spans="1:20" x14ac:dyDescent="0.25">
      <c r="A75" s="5" t="s">
        <v>93</v>
      </c>
      <c r="C75">
        <v>6.5</v>
      </c>
      <c r="E75">
        <v>6.8</v>
      </c>
      <c r="F75">
        <v>6.4</v>
      </c>
      <c r="I75">
        <v>5.7</v>
      </c>
      <c r="J75">
        <v>4.5999999999999996</v>
      </c>
      <c r="K75">
        <v>4.5999999999999996</v>
      </c>
      <c r="L75">
        <v>4.5</v>
      </c>
      <c r="M75">
        <v>3.9</v>
      </c>
      <c r="N75">
        <v>3.9</v>
      </c>
      <c r="P75">
        <v>3.6</v>
      </c>
      <c r="Q75">
        <v>3.5</v>
      </c>
      <c r="R75">
        <v>3.6</v>
      </c>
      <c r="S75">
        <v>3.4</v>
      </c>
      <c r="T75" s="8">
        <v>1.3</v>
      </c>
    </row>
    <row r="76" spans="1:20" x14ac:dyDescent="0.25">
      <c r="A76" s="5" t="s">
        <v>94</v>
      </c>
      <c r="C76">
        <v>7.3</v>
      </c>
      <c r="D76">
        <v>7.5</v>
      </c>
      <c r="F76">
        <v>7.5</v>
      </c>
      <c r="G76">
        <v>7.5</v>
      </c>
      <c r="H76">
        <v>7.6</v>
      </c>
      <c r="J76">
        <v>10.4</v>
      </c>
      <c r="K76">
        <v>8.5</v>
      </c>
      <c r="L76">
        <v>8.5</v>
      </c>
      <c r="M76">
        <v>8.5</v>
      </c>
      <c r="P76">
        <v>8.6</v>
      </c>
      <c r="R76">
        <v>8.6</v>
      </c>
      <c r="T76" s="8">
        <v>8.5</v>
      </c>
    </row>
    <row r="77" spans="1:20" x14ac:dyDescent="0.25">
      <c r="A77" s="5" t="s">
        <v>95</v>
      </c>
      <c r="C77">
        <v>5.6</v>
      </c>
      <c r="D77">
        <v>5.0999999999999996</v>
      </c>
      <c r="E77">
        <v>5.4</v>
      </c>
      <c r="F77">
        <v>4.9000000000000004</v>
      </c>
      <c r="G77">
        <v>4.4000000000000004</v>
      </c>
      <c r="H77">
        <v>5.3</v>
      </c>
      <c r="I77">
        <v>4.5999999999999996</v>
      </c>
      <c r="J77">
        <v>4.9000000000000004</v>
      </c>
      <c r="K77">
        <v>4.2</v>
      </c>
      <c r="L77">
        <v>4</v>
      </c>
      <c r="M77">
        <v>4</v>
      </c>
      <c r="N77">
        <v>4</v>
      </c>
      <c r="O77">
        <v>4.4000000000000004</v>
      </c>
      <c r="P77">
        <v>4.3</v>
      </c>
      <c r="Q77">
        <v>4.4000000000000004</v>
      </c>
      <c r="R77">
        <v>4.2</v>
      </c>
      <c r="S77">
        <v>3.9</v>
      </c>
      <c r="T77" s="8">
        <v>3.7</v>
      </c>
    </row>
    <row r="78" spans="1:20" x14ac:dyDescent="0.25">
      <c r="A78" s="5" t="s">
        <v>96</v>
      </c>
      <c r="C78">
        <v>11.5</v>
      </c>
      <c r="D78">
        <v>11.2</v>
      </c>
      <c r="E78">
        <v>10.8</v>
      </c>
      <c r="F78">
        <v>10.199999999999999</v>
      </c>
      <c r="G78">
        <v>10</v>
      </c>
      <c r="I78">
        <v>10.9</v>
      </c>
      <c r="J78">
        <v>9.5</v>
      </c>
      <c r="K78">
        <v>10.199999999999999</v>
      </c>
      <c r="L78">
        <v>9.9</v>
      </c>
      <c r="M78">
        <v>9.6999999999999993</v>
      </c>
      <c r="N78">
        <v>9.9</v>
      </c>
      <c r="O78">
        <v>10.1</v>
      </c>
      <c r="P78">
        <v>10.1</v>
      </c>
      <c r="Q78">
        <v>10.1</v>
      </c>
      <c r="T78" s="8">
        <v>4</v>
      </c>
    </row>
    <row r="79" spans="1:20" x14ac:dyDescent="0.25">
      <c r="A79" s="5" t="s">
        <v>97</v>
      </c>
      <c r="D79">
        <v>7.8</v>
      </c>
      <c r="E79">
        <v>6</v>
      </c>
      <c r="F79">
        <v>5.9</v>
      </c>
      <c r="G79">
        <v>9.1999999999999993</v>
      </c>
      <c r="H79">
        <v>9.6</v>
      </c>
      <c r="I79">
        <v>9.5</v>
      </c>
      <c r="J79">
        <v>9.1</v>
      </c>
      <c r="K79">
        <v>8.6</v>
      </c>
      <c r="L79">
        <v>7.8</v>
      </c>
      <c r="M79">
        <v>6.9</v>
      </c>
      <c r="N79">
        <v>6.5</v>
      </c>
      <c r="O79">
        <v>6.4</v>
      </c>
      <c r="P79">
        <v>6.1</v>
      </c>
      <c r="R79">
        <v>5.7</v>
      </c>
      <c r="S79">
        <v>6.2</v>
      </c>
      <c r="T79" s="8">
        <v>5.6</v>
      </c>
    </row>
    <row r="80" spans="1:20" x14ac:dyDescent="0.25">
      <c r="A80" s="5" t="s">
        <v>98</v>
      </c>
      <c r="C80">
        <v>12.7</v>
      </c>
      <c r="D80">
        <v>12.7</v>
      </c>
      <c r="E80">
        <v>12.6</v>
      </c>
      <c r="F80">
        <v>12.6</v>
      </c>
      <c r="G80">
        <v>12.5</v>
      </c>
      <c r="H80">
        <v>12.5</v>
      </c>
      <c r="I80">
        <v>12.8</v>
      </c>
      <c r="J80">
        <v>12.7</v>
      </c>
      <c r="K80">
        <v>12.8</v>
      </c>
      <c r="L80">
        <v>12.9</v>
      </c>
      <c r="M80">
        <v>12.8</v>
      </c>
      <c r="N80">
        <v>12.8</v>
      </c>
      <c r="O80">
        <v>13.5</v>
      </c>
      <c r="P80">
        <v>13.4</v>
      </c>
      <c r="Q80">
        <v>13.5</v>
      </c>
      <c r="R80">
        <v>13.2</v>
      </c>
      <c r="S80">
        <v>14.3</v>
      </c>
      <c r="T80" s="8">
        <v>13.8</v>
      </c>
    </row>
    <row r="81" spans="1:20" x14ac:dyDescent="0.25">
      <c r="A81" s="5" t="s">
        <v>99</v>
      </c>
      <c r="C81">
        <v>17.5</v>
      </c>
      <c r="P81">
        <v>0</v>
      </c>
      <c r="R81">
        <v>0</v>
      </c>
      <c r="S81">
        <v>0</v>
      </c>
      <c r="T81" s="8">
        <v>0</v>
      </c>
    </row>
    <row r="82" spans="1:20" x14ac:dyDescent="0.25">
      <c r="A82" s="5" t="s">
        <v>100</v>
      </c>
      <c r="C82">
        <v>12.1</v>
      </c>
      <c r="D82">
        <v>12.2</v>
      </c>
      <c r="E82">
        <v>12.2</v>
      </c>
      <c r="F82">
        <v>12.1</v>
      </c>
      <c r="G82">
        <v>12.1</v>
      </c>
      <c r="H82">
        <v>12.1</v>
      </c>
      <c r="I82">
        <v>13.3</v>
      </c>
      <c r="J82">
        <v>13.3</v>
      </c>
      <c r="K82">
        <v>13.3</v>
      </c>
      <c r="L82">
        <v>13.9</v>
      </c>
      <c r="M82">
        <v>13.9</v>
      </c>
      <c r="N82">
        <v>13.7</v>
      </c>
      <c r="O82">
        <v>13.7</v>
      </c>
      <c r="P82">
        <v>13.6</v>
      </c>
      <c r="Q82">
        <v>13.6</v>
      </c>
      <c r="R82">
        <v>13.6</v>
      </c>
      <c r="S82">
        <v>13.4</v>
      </c>
      <c r="T82" s="8">
        <v>13.4</v>
      </c>
    </row>
    <row r="83" spans="1:20" x14ac:dyDescent="0.25">
      <c r="A83" s="5" t="s">
        <v>101</v>
      </c>
      <c r="C83">
        <v>4.9000000000000004</v>
      </c>
      <c r="D83">
        <v>4.5999999999999996</v>
      </c>
      <c r="E83">
        <v>4.7</v>
      </c>
      <c r="F83">
        <v>4.7</v>
      </c>
      <c r="H83">
        <v>4.7</v>
      </c>
      <c r="I83">
        <v>4.7</v>
      </c>
      <c r="J83">
        <v>4.7</v>
      </c>
      <c r="K83">
        <v>4.7</v>
      </c>
      <c r="L83">
        <v>4.7</v>
      </c>
      <c r="M83">
        <v>4.7</v>
      </c>
      <c r="N83">
        <v>4.7</v>
      </c>
      <c r="O83">
        <v>4.7</v>
      </c>
      <c r="P83">
        <v>4.7</v>
      </c>
      <c r="R83">
        <v>4.7</v>
      </c>
      <c r="S83">
        <v>4.7</v>
      </c>
      <c r="T83" s="8">
        <v>4.7</v>
      </c>
    </row>
    <row r="84" spans="1:20" x14ac:dyDescent="0.25">
      <c r="A84" s="5" t="s">
        <v>102</v>
      </c>
      <c r="C84">
        <v>4.8</v>
      </c>
      <c r="D84">
        <v>4.8</v>
      </c>
      <c r="E84">
        <v>4.7</v>
      </c>
      <c r="F84">
        <v>4.5999999999999996</v>
      </c>
      <c r="G84">
        <v>4.5999999999999996</v>
      </c>
      <c r="H84">
        <v>4.5999999999999996</v>
      </c>
      <c r="I84">
        <v>4.5999999999999996</v>
      </c>
      <c r="J84">
        <v>4.5999999999999996</v>
      </c>
      <c r="K84">
        <v>4.5999999999999996</v>
      </c>
      <c r="L84">
        <v>7.4</v>
      </c>
      <c r="M84">
        <v>6.9</v>
      </c>
      <c r="N84">
        <v>6.6</v>
      </c>
      <c r="O84">
        <v>6.5</v>
      </c>
      <c r="P84">
        <v>6.6</v>
      </c>
      <c r="Q84">
        <v>6.6</v>
      </c>
      <c r="R84">
        <v>6.5</v>
      </c>
      <c r="S84">
        <v>6.5</v>
      </c>
      <c r="T84" s="8">
        <v>6.4</v>
      </c>
    </row>
    <row r="85" spans="1:20" x14ac:dyDescent="0.25">
      <c r="A85" s="5" t="s">
        <v>103</v>
      </c>
      <c r="B85">
        <v>9.6999999999999993</v>
      </c>
      <c r="D85">
        <v>9.6999999999999993</v>
      </c>
      <c r="E85">
        <v>9.6999999999999993</v>
      </c>
      <c r="K85">
        <v>10</v>
      </c>
      <c r="L85">
        <v>10</v>
      </c>
      <c r="M85">
        <v>8.5</v>
      </c>
      <c r="N85">
        <v>8.5</v>
      </c>
      <c r="O85">
        <v>8.5</v>
      </c>
      <c r="P85">
        <v>8.6</v>
      </c>
      <c r="R85">
        <v>8.6</v>
      </c>
      <c r="S85">
        <v>8.6</v>
      </c>
      <c r="T85" s="8">
        <v>8.6</v>
      </c>
    </row>
    <row r="86" spans="1:20" x14ac:dyDescent="0.25">
      <c r="A86" s="5" t="s">
        <v>104</v>
      </c>
      <c r="B86">
        <v>7</v>
      </c>
      <c r="D86">
        <v>6.8</v>
      </c>
      <c r="G86">
        <v>6.3</v>
      </c>
      <c r="K86">
        <v>5.7</v>
      </c>
      <c r="L86">
        <v>5.6</v>
      </c>
      <c r="M86">
        <v>5.7</v>
      </c>
      <c r="N86">
        <v>6</v>
      </c>
      <c r="O86">
        <v>5.7</v>
      </c>
      <c r="P86">
        <v>6</v>
      </c>
      <c r="Q86">
        <v>6</v>
      </c>
      <c r="S86">
        <v>6</v>
      </c>
      <c r="T86" s="8">
        <v>10.8</v>
      </c>
    </row>
    <row r="87" spans="1:20" x14ac:dyDescent="0.25">
      <c r="A87" s="5" t="s">
        <v>105</v>
      </c>
      <c r="C87">
        <v>7.9</v>
      </c>
      <c r="D87">
        <v>7.8</v>
      </c>
      <c r="E87">
        <v>7.8</v>
      </c>
      <c r="F87">
        <v>7.7</v>
      </c>
      <c r="G87">
        <v>7.6</v>
      </c>
      <c r="H87">
        <v>7.7</v>
      </c>
      <c r="I87">
        <v>7.6</v>
      </c>
      <c r="J87">
        <v>7.6</v>
      </c>
      <c r="K87">
        <v>7.6</v>
      </c>
      <c r="L87">
        <v>7.6</v>
      </c>
      <c r="M87">
        <v>7.6</v>
      </c>
      <c r="N87">
        <v>7.6</v>
      </c>
      <c r="O87">
        <v>7.7</v>
      </c>
      <c r="P87">
        <v>7.7</v>
      </c>
      <c r="Q87">
        <v>7.7</v>
      </c>
      <c r="R87">
        <v>7.7</v>
      </c>
      <c r="S87">
        <v>7.5</v>
      </c>
      <c r="T87" s="8">
        <v>7.5</v>
      </c>
    </row>
    <row r="88" spans="1:20" x14ac:dyDescent="0.25">
      <c r="A88" s="5" t="s">
        <v>106</v>
      </c>
      <c r="I88">
        <v>10.199999999999999</v>
      </c>
      <c r="J88">
        <v>10.199999999999999</v>
      </c>
      <c r="K88">
        <v>10.199999999999999</v>
      </c>
      <c r="O88">
        <v>9.6999999999999993</v>
      </c>
      <c r="P88">
        <v>12.1</v>
      </c>
      <c r="Q88">
        <v>12.1</v>
      </c>
      <c r="R88">
        <v>12.1</v>
      </c>
      <c r="S88">
        <v>12</v>
      </c>
      <c r="T88" s="8">
        <v>12</v>
      </c>
    </row>
    <row r="89" spans="1:20" x14ac:dyDescent="0.25">
      <c r="A89" s="5" t="s">
        <v>107</v>
      </c>
      <c r="C89">
        <v>0</v>
      </c>
      <c r="R89">
        <v>5.2</v>
      </c>
      <c r="S89">
        <v>4.5</v>
      </c>
      <c r="T89" s="8">
        <v>4.5</v>
      </c>
    </row>
    <row r="90" spans="1:20" x14ac:dyDescent="0.25">
      <c r="A90" s="5" t="s">
        <v>108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s="8">
        <v>0</v>
      </c>
    </row>
    <row r="91" spans="1:20" x14ac:dyDescent="0.25">
      <c r="A91" s="5" t="s">
        <v>109</v>
      </c>
      <c r="C91">
        <v>13.3</v>
      </c>
      <c r="D91">
        <v>12.4</v>
      </c>
      <c r="E91">
        <v>12.5</v>
      </c>
      <c r="F91">
        <v>11.8</v>
      </c>
      <c r="G91">
        <v>11.7</v>
      </c>
      <c r="H91">
        <v>11.7</v>
      </c>
      <c r="I91">
        <v>11.8</v>
      </c>
      <c r="J91">
        <v>11.7</v>
      </c>
      <c r="K91">
        <v>11.7</v>
      </c>
      <c r="L91">
        <v>11.7</v>
      </c>
      <c r="M91">
        <v>11.7</v>
      </c>
      <c r="N91">
        <v>11.6</v>
      </c>
      <c r="O91">
        <v>11.6</v>
      </c>
      <c r="P91">
        <v>11.6</v>
      </c>
      <c r="R91">
        <v>11.7</v>
      </c>
      <c r="S91">
        <v>11.8</v>
      </c>
      <c r="T91" s="8">
        <v>12</v>
      </c>
    </row>
    <row r="92" spans="1:20" x14ac:dyDescent="0.25">
      <c r="A92" s="5" t="s">
        <v>110</v>
      </c>
      <c r="C92">
        <v>13.5</v>
      </c>
      <c r="E92">
        <v>13</v>
      </c>
      <c r="F92">
        <v>13</v>
      </c>
      <c r="G92">
        <v>12.7</v>
      </c>
      <c r="H92">
        <v>12.7</v>
      </c>
      <c r="I92">
        <v>12.7</v>
      </c>
      <c r="J92">
        <v>12.4</v>
      </c>
      <c r="K92">
        <v>12.6</v>
      </c>
      <c r="L92">
        <v>12.6</v>
      </c>
      <c r="M92">
        <v>12.4</v>
      </c>
      <c r="N92">
        <v>12.4</v>
      </c>
      <c r="P92">
        <v>12.2</v>
      </c>
      <c r="R92">
        <v>12.2</v>
      </c>
      <c r="S92">
        <v>12.2</v>
      </c>
      <c r="T92" s="8">
        <v>12.2</v>
      </c>
    </row>
    <row r="93" spans="1:20" x14ac:dyDescent="0.25">
      <c r="A93" s="5" t="s">
        <v>111</v>
      </c>
      <c r="C93">
        <v>8.5</v>
      </c>
      <c r="D93">
        <v>8.4</v>
      </c>
      <c r="E93">
        <v>8.8000000000000007</v>
      </c>
      <c r="F93">
        <v>8</v>
      </c>
      <c r="G93">
        <v>6.5</v>
      </c>
      <c r="I93">
        <v>6.5</v>
      </c>
      <c r="J93">
        <v>6</v>
      </c>
      <c r="K93">
        <v>6.1</v>
      </c>
      <c r="M93">
        <v>5.8</v>
      </c>
      <c r="N93">
        <v>5.6</v>
      </c>
      <c r="P93">
        <v>5.6</v>
      </c>
      <c r="Q93">
        <v>5.7</v>
      </c>
      <c r="R93">
        <v>5.6</v>
      </c>
      <c r="S93">
        <v>5.6</v>
      </c>
      <c r="T93" s="8">
        <v>5.6</v>
      </c>
    </row>
    <row r="94" spans="1:20" x14ac:dyDescent="0.25">
      <c r="A94" s="5" t="s">
        <v>112</v>
      </c>
      <c r="C94">
        <v>20.2</v>
      </c>
      <c r="E94">
        <v>20.399999999999999</v>
      </c>
      <c r="F94">
        <v>20.399999999999999</v>
      </c>
      <c r="G94">
        <v>20.399999999999999</v>
      </c>
      <c r="H94">
        <v>20.5</v>
      </c>
      <c r="N94">
        <v>13</v>
      </c>
      <c r="O94">
        <v>13</v>
      </c>
      <c r="P94">
        <v>12.9</v>
      </c>
      <c r="R94">
        <v>11.4</v>
      </c>
      <c r="S94">
        <v>11.7</v>
      </c>
      <c r="T94" s="8">
        <v>11.6</v>
      </c>
    </row>
    <row r="95" spans="1:20" x14ac:dyDescent="0.25">
      <c r="A95" s="5" t="s">
        <v>113</v>
      </c>
      <c r="C95">
        <v>12</v>
      </c>
      <c r="D95">
        <v>11.9</v>
      </c>
      <c r="E95">
        <v>11.9</v>
      </c>
      <c r="F95">
        <v>11.9</v>
      </c>
      <c r="G95">
        <v>11.9</v>
      </c>
      <c r="H95">
        <v>11.9</v>
      </c>
      <c r="I95">
        <v>11.9</v>
      </c>
      <c r="J95">
        <v>11.9</v>
      </c>
      <c r="K95">
        <v>11.9</v>
      </c>
      <c r="L95">
        <v>12.2</v>
      </c>
      <c r="M95">
        <v>12.2</v>
      </c>
      <c r="N95">
        <v>12.2</v>
      </c>
      <c r="O95">
        <v>12.1</v>
      </c>
      <c r="P95">
        <v>12.1</v>
      </c>
      <c r="Q95">
        <v>12.1</v>
      </c>
      <c r="R95">
        <v>12.1</v>
      </c>
      <c r="S95">
        <v>12</v>
      </c>
      <c r="T95" s="8">
        <v>12</v>
      </c>
    </row>
    <row r="96" spans="1:20" x14ac:dyDescent="0.25">
      <c r="A96" s="5" t="s">
        <v>114</v>
      </c>
      <c r="C96">
        <v>10.7</v>
      </c>
      <c r="D96">
        <v>11.9</v>
      </c>
      <c r="G96">
        <v>9.6</v>
      </c>
      <c r="K96">
        <v>12</v>
      </c>
      <c r="L96">
        <v>12</v>
      </c>
      <c r="O96">
        <v>12.1</v>
      </c>
      <c r="P96">
        <v>12.1</v>
      </c>
      <c r="R96">
        <v>12</v>
      </c>
      <c r="T96" s="8">
        <v>12</v>
      </c>
    </row>
    <row r="97" spans="1:20" x14ac:dyDescent="0.25">
      <c r="A97" s="5" t="s">
        <v>115</v>
      </c>
      <c r="C97">
        <v>3.5</v>
      </c>
      <c r="D97">
        <v>3.5</v>
      </c>
      <c r="E97">
        <v>2.9</v>
      </c>
      <c r="F97">
        <v>1.4</v>
      </c>
      <c r="G97">
        <v>1.4</v>
      </c>
      <c r="H97">
        <v>1.4</v>
      </c>
      <c r="I97">
        <v>1.1000000000000001</v>
      </c>
      <c r="J97">
        <v>1</v>
      </c>
      <c r="K97">
        <v>1.1000000000000001</v>
      </c>
      <c r="L97">
        <v>1</v>
      </c>
      <c r="M97">
        <v>1</v>
      </c>
      <c r="N97">
        <v>0.7</v>
      </c>
      <c r="O97">
        <v>0.8</v>
      </c>
      <c r="P97">
        <v>0.8</v>
      </c>
      <c r="Q97">
        <v>0.8</v>
      </c>
      <c r="R97">
        <v>0.8</v>
      </c>
      <c r="S97">
        <v>0.8</v>
      </c>
      <c r="T97" s="8">
        <v>0.8</v>
      </c>
    </row>
    <row r="98" spans="1:20" x14ac:dyDescent="0.25">
      <c r="A98" s="5" t="s">
        <v>116</v>
      </c>
      <c r="C98">
        <v>14</v>
      </c>
      <c r="D98">
        <v>12.6</v>
      </c>
      <c r="E98">
        <v>12.6</v>
      </c>
      <c r="F98">
        <v>11.5</v>
      </c>
      <c r="G98">
        <v>9</v>
      </c>
      <c r="H98">
        <v>8.3000000000000007</v>
      </c>
      <c r="I98">
        <v>7.8</v>
      </c>
      <c r="J98">
        <v>7.9</v>
      </c>
      <c r="K98">
        <v>7.5</v>
      </c>
      <c r="L98">
        <v>7.1</v>
      </c>
      <c r="M98">
        <v>7</v>
      </c>
      <c r="N98">
        <v>6.9</v>
      </c>
      <c r="O98">
        <v>7</v>
      </c>
      <c r="P98">
        <v>7.1</v>
      </c>
      <c r="Q98">
        <v>7.1</v>
      </c>
      <c r="R98">
        <v>7.1</v>
      </c>
      <c r="S98">
        <v>7.1</v>
      </c>
      <c r="T98" s="8">
        <v>6.8</v>
      </c>
    </row>
    <row r="99" spans="1:20" x14ac:dyDescent="0.25">
      <c r="A99" s="5" t="s">
        <v>117</v>
      </c>
      <c r="C99">
        <v>4.5</v>
      </c>
      <c r="P99">
        <v>5.0999999999999996</v>
      </c>
      <c r="R99">
        <v>5.0999999999999996</v>
      </c>
      <c r="S99">
        <v>5.0999999999999996</v>
      </c>
      <c r="T99" s="8">
        <v>5</v>
      </c>
    </row>
    <row r="100" spans="1:20" x14ac:dyDescent="0.25">
      <c r="A100" s="5" t="s">
        <v>118</v>
      </c>
      <c r="C100">
        <v>5.2</v>
      </c>
      <c r="E100">
        <v>4.7</v>
      </c>
      <c r="F100">
        <v>4.5999999999999996</v>
      </c>
      <c r="G100">
        <v>4.5999999999999996</v>
      </c>
      <c r="H100">
        <v>4.5999999999999996</v>
      </c>
      <c r="I100">
        <v>4.5999999999999996</v>
      </c>
      <c r="J100">
        <v>4.5999999999999996</v>
      </c>
      <c r="K100">
        <v>4.5999999999999996</v>
      </c>
      <c r="L100">
        <v>5.5</v>
      </c>
      <c r="M100">
        <v>5.4</v>
      </c>
      <c r="N100">
        <v>5.3</v>
      </c>
      <c r="O100">
        <v>5.3</v>
      </c>
      <c r="P100">
        <v>5.3</v>
      </c>
      <c r="Q100">
        <v>5.3</v>
      </c>
      <c r="R100">
        <v>5.3</v>
      </c>
      <c r="S100">
        <v>5.3</v>
      </c>
      <c r="T100" s="8"/>
    </row>
    <row r="101" spans="1:20" x14ac:dyDescent="0.25">
      <c r="A101" s="5" t="s">
        <v>119</v>
      </c>
      <c r="C101">
        <v>4.5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L101">
        <v>5</v>
      </c>
      <c r="M101">
        <v>5.2</v>
      </c>
      <c r="N101">
        <v>5.2</v>
      </c>
      <c r="O101">
        <v>5.2</v>
      </c>
      <c r="P101">
        <v>5.2</v>
      </c>
      <c r="Q101">
        <v>5.2</v>
      </c>
      <c r="R101">
        <v>5.2</v>
      </c>
      <c r="S101">
        <v>5.2</v>
      </c>
      <c r="T101" s="8">
        <v>5.2</v>
      </c>
    </row>
    <row r="102" spans="1:20" x14ac:dyDescent="0.25">
      <c r="A102" s="5" t="s">
        <v>120</v>
      </c>
      <c r="C102">
        <v>4.9000000000000004</v>
      </c>
      <c r="D102">
        <v>5</v>
      </c>
      <c r="E102">
        <v>4.9000000000000004</v>
      </c>
      <c r="F102">
        <v>4.9000000000000004</v>
      </c>
      <c r="G102">
        <v>4.9000000000000004</v>
      </c>
      <c r="H102">
        <v>4.9000000000000004</v>
      </c>
      <c r="I102">
        <v>4.3</v>
      </c>
      <c r="J102">
        <v>4.3</v>
      </c>
      <c r="K102">
        <v>4.0999999999999996</v>
      </c>
      <c r="L102">
        <v>4</v>
      </c>
      <c r="M102">
        <v>3.9</v>
      </c>
      <c r="N102">
        <v>3.8</v>
      </c>
      <c r="O102">
        <v>3.7</v>
      </c>
      <c r="P102">
        <v>3.7</v>
      </c>
      <c r="Q102">
        <v>3.7</v>
      </c>
      <c r="R102">
        <v>3.7</v>
      </c>
      <c r="S102">
        <v>3.7</v>
      </c>
      <c r="T102" s="8">
        <v>3.7</v>
      </c>
    </row>
    <row r="103" spans="1:20" x14ac:dyDescent="0.25">
      <c r="A103" s="5" t="s">
        <v>121</v>
      </c>
      <c r="C103">
        <v>24.5</v>
      </c>
      <c r="D103">
        <v>23</v>
      </c>
      <c r="E103">
        <v>21.4</v>
      </c>
      <c r="F103">
        <v>18.100000000000001</v>
      </c>
      <c r="G103">
        <v>18.100000000000001</v>
      </c>
      <c r="H103">
        <v>14.3</v>
      </c>
      <c r="I103">
        <v>12.9</v>
      </c>
      <c r="K103">
        <v>11.2</v>
      </c>
      <c r="L103">
        <v>11.5</v>
      </c>
      <c r="M103">
        <v>11.5</v>
      </c>
      <c r="N103">
        <v>11.4</v>
      </c>
      <c r="P103">
        <v>11.4</v>
      </c>
      <c r="Q103">
        <v>12.3</v>
      </c>
      <c r="R103">
        <v>14.2</v>
      </c>
      <c r="S103">
        <v>14</v>
      </c>
      <c r="T103" s="8">
        <v>14</v>
      </c>
    </row>
    <row r="104" spans="1:20" x14ac:dyDescent="0.25">
      <c r="A104" s="5" t="s">
        <v>122</v>
      </c>
      <c r="C104">
        <v>12.1</v>
      </c>
      <c r="D104">
        <v>10.3</v>
      </c>
      <c r="E104">
        <v>10.1</v>
      </c>
      <c r="F104">
        <v>10.3</v>
      </c>
      <c r="G104">
        <v>10.1</v>
      </c>
      <c r="H104">
        <v>10.1</v>
      </c>
      <c r="I104">
        <v>10.1</v>
      </c>
      <c r="K104">
        <v>10.1</v>
      </c>
      <c r="M104">
        <v>10.1</v>
      </c>
      <c r="O104">
        <v>10.3</v>
      </c>
      <c r="P104">
        <v>10.3</v>
      </c>
      <c r="R104">
        <v>10.3</v>
      </c>
      <c r="S104">
        <v>10.3</v>
      </c>
      <c r="T104" s="8">
        <v>10.3</v>
      </c>
    </row>
    <row r="105" spans="1:20" x14ac:dyDescent="0.25">
      <c r="A105" s="5" t="s">
        <v>123</v>
      </c>
      <c r="C105">
        <v>5.6</v>
      </c>
      <c r="D105">
        <v>5.6</v>
      </c>
      <c r="E105">
        <v>5.6</v>
      </c>
      <c r="I105">
        <v>5.6</v>
      </c>
      <c r="J105">
        <v>5.6</v>
      </c>
      <c r="L105">
        <v>5.6</v>
      </c>
      <c r="N105">
        <v>6.5</v>
      </c>
      <c r="O105">
        <v>6.5</v>
      </c>
      <c r="P105">
        <v>6.5</v>
      </c>
      <c r="Q105">
        <v>6.5</v>
      </c>
      <c r="R105">
        <v>6.5</v>
      </c>
      <c r="S105">
        <v>7.6</v>
      </c>
      <c r="T105" s="8">
        <v>7.6</v>
      </c>
    </row>
    <row r="106" spans="1:20" x14ac:dyDescent="0.25">
      <c r="A106" s="5" t="s">
        <v>124</v>
      </c>
      <c r="C106">
        <v>8</v>
      </c>
      <c r="D106">
        <v>7.8</v>
      </c>
      <c r="E106">
        <v>7.8</v>
      </c>
      <c r="F106">
        <v>7.7</v>
      </c>
      <c r="G106">
        <v>7.7</v>
      </c>
      <c r="H106">
        <v>7.7</v>
      </c>
      <c r="I106">
        <v>7.6</v>
      </c>
      <c r="J106">
        <v>7.6</v>
      </c>
      <c r="K106">
        <v>7.6</v>
      </c>
      <c r="L106">
        <v>7.6</v>
      </c>
      <c r="M106">
        <v>7.6</v>
      </c>
      <c r="N106">
        <v>7.6</v>
      </c>
      <c r="O106">
        <v>7.7</v>
      </c>
      <c r="P106">
        <v>7.7</v>
      </c>
      <c r="Q106">
        <v>7.7</v>
      </c>
      <c r="R106">
        <v>7.7</v>
      </c>
      <c r="S106">
        <v>7.6</v>
      </c>
      <c r="T106" s="8">
        <v>7.5</v>
      </c>
    </row>
    <row r="107" spans="1:20" x14ac:dyDescent="0.25">
      <c r="A107" s="5" t="s">
        <v>125</v>
      </c>
      <c r="M107">
        <v>11.9</v>
      </c>
      <c r="N107">
        <v>12.2</v>
      </c>
      <c r="O107">
        <v>12.3</v>
      </c>
      <c r="P107">
        <v>12.7</v>
      </c>
      <c r="R107">
        <v>12.9</v>
      </c>
      <c r="S107">
        <v>12.9</v>
      </c>
      <c r="T107" s="8">
        <v>12.6</v>
      </c>
    </row>
    <row r="108" spans="1:20" x14ac:dyDescent="0.25">
      <c r="A108" s="5" t="s">
        <v>126</v>
      </c>
      <c r="B108">
        <v>13.9</v>
      </c>
      <c r="D108">
        <v>12.6</v>
      </c>
      <c r="E108">
        <v>12.7</v>
      </c>
      <c r="F108">
        <v>12.4</v>
      </c>
      <c r="G108">
        <v>12.3</v>
      </c>
      <c r="H108">
        <v>12.3</v>
      </c>
      <c r="I108">
        <v>12.3</v>
      </c>
      <c r="J108">
        <v>12.2</v>
      </c>
      <c r="K108">
        <v>12.3</v>
      </c>
      <c r="L108">
        <v>12.3</v>
      </c>
      <c r="M108">
        <v>12.1</v>
      </c>
      <c r="O108">
        <v>12.1</v>
      </c>
      <c r="P108">
        <v>12.2</v>
      </c>
      <c r="R108">
        <v>12.7</v>
      </c>
      <c r="S108">
        <v>12.6</v>
      </c>
      <c r="T108" s="8">
        <v>12.7</v>
      </c>
    </row>
    <row r="109" spans="1:20" x14ac:dyDescent="0.25">
      <c r="A109" s="5" t="s">
        <v>127</v>
      </c>
      <c r="C109">
        <v>3</v>
      </c>
      <c r="D109">
        <v>3</v>
      </c>
      <c r="E109">
        <v>2.2000000000000002</v>
      </c>
      <c r="F109">
        <v>2.1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1.9</v>
      </c>
      <c r="R109">
        <v>1.9</v>
      </c>
      <c r="S109">
        <v>1.9</v>
      </c>
      <c r="T109" s="8">
        <v>1.9</v>
      </c>
    </row>
    <row r="110" spans="1:20" x14ac:dyDescent="0.25">
      <c r="A110" s="5" t="s">
        <v>128</v>
      </c>
      <c r="B110">
        <v>5.6</v>
      </c>
      <c r="D110">
        <v>5.6</v>
      </c>
      <c r="F110">
        <v>5.6</v>
      </c>
      <c r="G110">
        <v>5.6</v>
      </c>
      <c r="H110">
        <v>5.6</v>
      </c>
      <c r="I110">
        <v>5.7</v>
      </c>
      <c r="J110">
        <v>5.8</v>
      </c>
      <c r="K110">
        <v>5.7</v>
      </c>
      <c r="L110">
        <v>5.7</v>
      </c>
      <c r="M110">
        <v>5.7</v>
      </c>
      <c r="N110">
        <v>5.7</v>
      </c>
      <c r="O110">
        <v>5.7</v>
      </c>
      <c r="P110">
        <v>5.7</v>
      </c>
      <c r="Q110">
        <v>5.7</v>
      </c>
      <c r="R110">
        <v>5.7</v>
      </c>
      <c r="S110">
        <v>5.6</v>
      </c>
      <c r="T110" s="8">
        <v>5.6</v>
      </c>
    </row>
    <row r="111" spans="1:20" x14ac:dyDescent="0.25">
      <c r="A111" s="5" t="s">
        <v>129</v>
      </c>
      <c r="C111">
        <v>12</v>
      </c>
      <c r="D111">
        <v>11.9</v>
      </c>
      <c r="E111">
        <v>11.9</v>
      </c>
      <c r="F111">
        <v>11.9</v>
      </c>
      <c r="G111">
        <v>11.9</v>
      </c>
      <c r="H111">
        <v>11.9</v>
      </c>
      <c r="I111">
        <v>11.9</v>
      </c>
      <c r="J111">
        <v>11.9</v>
      </c>
      <c r="K111">
        <v>11.9</v>
      </c>
      <c r="L111">
        <v>12.2</v>
      </c>
      <c r="M111">
        <v>12.2</v>
      </c>
      <c r="N111">
        <v>12.2</v>
      </c>
      <c r="O111">
        <v>12.2</v>
      </c>
      <c r="P111">
        <v>12.1</v>
      </c>
      <c r="Q111">
        <v>12.1</v>
      </c>
      <c r="R111">
        <v>12.1</v>
      </c>
      <c r="S111">
        <v>12</v>
      </c>
      <c r="T111" s="8">
        <v>12</v>
      </c>
    </row>
    <row r="112" spans="1:20" x14ac:dyDescent="0.25">
      <c r="A112" s="5" t="s">
        <v>130</v>
      </c>
      <c r="C112">
        <v>12</v>
      </c>
      <c r="E112">
        <v>12</v>
      </c>
      <c r="F112">
        <v>11.2</v>
      </c>
      <c r="G112">
        <v>11.7</v>
      </c>
      <c r="H112">
        <v>11.7</v>
      </c>
      <c r="J112">
        <v>11.7</v>
      </c>
      <c r="K112">
        <v>11.9</v>
      </c>
      <c r="L112">
        <v>12.1</v>
      </c>
      <c r="M112">
        <v>12.1</v>
      </c>
      <c r="P112">
        <v>12.1</v>
      </c>
      <c r="Q112">
        <v>12.1</v>
      </c>
      <c r="R112">
        <v>12.1</v>
      </c>
      <c r="S112">
        <v>12</v>
      </c>
      <c r="T112" s="8">
        <v>12</v>
      </c>
    </row>
    <row r="113" spans="1:20" x14ac:dyDescent="0.25">
      <c r="A113" s="5" t="s">
        <v>131</v>
      </c>
      <c r="C113">
        <v>8.3000000000000007</v>
      </c>
      <c r="D113">
        <v>7.8</v>
      </c>
      <c r="E113">
        <v>7.7</v>
      </c>
      <c r="F113">
        <v>7.3</v>
      </c>
      <c r="G113">
        <v>7</v>
      </c>
      <c r="H113">
        <v>7</v>
      </c>
      <c r="I113">
        <v>6.9</v>
      </c>
      <c r="J113">
        <v>6.8</v>
      </c>
      <c r="K113">
        <v>6.9</v>
      </c>
      <c r="L113">
        <v>6.8</v>
      </c>
      <c r="M113">
        <v>6.8</v>
      </c>
      <c r="N113">
        <v>6.7</v>
      </c>
      <c r="O113">
        <v>6.7</v>
      </c>
      <c r="P113">
        <v>6.7</v>
      </c>
      <c r="Q113">
        <v>6.7</v>
      </c>
      <c r="R113">
        <v>6.7</v>
      </c>
      <c r="S113">
        <v>6.6</v>
      </c>
      <c r="T113" s="8">
        <v>6.5</v>
      </c>
    </row>
    <row r="114" spans="1:20" x14ac:dyDescent="0.25">
      <c r="A114" s="5" t="s">
        <v>132</v>
      </c>
      <c r="C114">
        <v>8.6</v>
      </c>
      <c r="D114">
        <v>8.1</v>
      </c>
      <c r="E114">
        <v>8.1999999999999993</v>
      </c>
      <c r="F114">
        <v>6.1</v>
      </c>
      <c r="G114">
        <v>7</v>
      </c>
      <c r="H114">
        <v>7.8</v>
      </c>
      <c r="I114">
        <v>8</v>
      </c>
      <c r="J114">
        <v>7.7</v>
      </c>
      <c r="K114">
        <v>7.7</v>
      </c>
      <c r="L114">
        <v>6.6</v>
      </c>
      <c r="M114">
        <v>6.1</v>
      </c>
      <c r="N114">
        <v>6.2</v>
      </c>
      <c r="O114">
        <v>6.6</v>
      </c>
      <c r="P114">
        <v>6</v>
      </c>
      <c r="Q114">
        <v>5.9</v>
      </c>
      <c r="R114">
        <v>5.9</v>
      </c>
      <c r="S114">
        <v>5.2</v>
      </c>
      <c r="T114" s="8">
        <v>4.5999999999999996</v>
      </c>
    </row>
    <row r="115" spans="1:20" x14ac:dyDescent="0.25">
      <c r="A115" s="5" t="s">
        <v>133</v>
      </c>
      <c r="C115">
        <v>5.3</v>
      </c>
      <c r="D115">
        <v>5.5</v>
      </c>
      <c r="E115">
        <v>5.7</v>
      </c>
      <c r="F115">
        <v>5.7</v>
      </c>
      <c r="I115">
        <v>4.7</v>
      </c>
      <c r="J115">
        <v>4.7</v>
      </c>
      <c r="K115">
        <v>4.7</v>
      </c>
      <c r="L115">
        <v>5.5</v>
      </c>
      <c r="M115">
        <v>5.5</v>
      </c>
      <c r="N115">
        <v>5.6</v>
      </c>
      <c r="O115">
        <v>5.6</v>
      </c>
      <c r="P115">
        <v>5.6</v>
      </c>
      <c r="R115">
        <v>5.6</v>
      </c>
      <c r="S115">
        <v>5.6</v>
      </c>
      <c r="T115" s="8">
        <v>5.6</v>
      </c>
    </row>
    <row r="116" spans="1:20" x14ac:dyDescent="0.25">
      <c r="A116" s="5" t="s">
        <v>134</v>
      </c>
      <c r="C116">
        <v>14.3</v>
      </c>
      <c r="D116">
        <v>14.1</v>
      </c>
      <c r="E116">
        <v>13.5</v>
      </c>
      <c r="F116">
        <v>13.9</v>
      </c>
      <c r="G116">
        <v>13.9</v>
      </c>
      <c r="H116">
        <v>13.9</v>
      </c>
      <c r="I116">
        <v>13.6</v>
      </c>
      <c r="J116">
        <v>13.5</v>
      </c>
      <c r="K116">
        <v>13.4</v>
      </c>
      <c r="L116">
        <v>12.3</v>
      </c>
      <c r="M116">
        <v>12.1</v>
      </c>
      <c r="O116">
        <v>12.1</v>
      </c>
      <c r="P116">
        <v>12.1</v>
      </c>
      <c r="R116">
        <v>11.2</v>
      </c>
      <c r="S116">
        <v>10.3</v>
      </c>
      <c r="T116" s="8">
        <v>10.3</v>
      </c>
    </row>
    <row r="117" spans="1:20" x14ac:dyDescent="0.25">
      <c r="A117" s="5" t="s">
        <v>135</v>
      </c>
      <c r="B117">
        <v>2.9</v>
      </c>
      <c r="F117">
        <v>4.0999999999999996</v>
      </c>
      <c r="G117">
        <v>3.9</v>
      </c>
      <c r="H117">
        <v>4.0999999999999996</v>
      </c>
      <c r="I117">
        <v>4.0999999999999996</v>
      </c>
      <c r="L117">
        <v>3.2</v>
      </c>
      <c r="M117">
        <v>3.6</v>
      </c>
      <c r="N117">
        <v>3.6</v>
      </c>
      <c r="O117">
        <v>3.8</v>
      </c>
      <c r="P117">
        <v>3.8</v>
      </c>
      <c r="R117">
        <v>4</v>
      </c>
      <c r="S117">
        <v>4</v>
      </c>
      <c r="T117" s="8"/>
    </row>
    <row r="118" spans="1:20" x14ac:dyDescent="0.25">
      <c r="A118" s="5" t="s">
        <v>136</v>
      </c>
      <c r="C118">
        <v>7.3</v>
      </c>
      <c r="D118">
        <v>7.2</v>
      </c>
      <c r="E118">
        <v>7.2</v>
      </c>
      <c r="F118">
        <v>7.2</v>
      </c>
      <c r="H118">
        <v>6.9</v>
      </c>
      <c r="I118">
        <v>7</v>
      </c>
      <c r="J118">
        <v>6.9</v>
      </c>
      <c r="K118">
        <v>6.8</v>
      </c>
      <c r="L118">
        <v>6.8</v>
      </c>
      <c r="N118">
        <v>6.8</v>
      </c>
      <c r="O118">
        <v>5.0999999999999996</v>
      </c>
      <c r="P118">
        <v>5.0999999999999996</v>
      </c>
      <c r="Q118">
        <v>5.0999999999999996</v>
      </c>
      <c r="R118">
        <v>5.0999999999999996</v>
      </c>
      <c r="S118">
        <v>5.0999999999999996</v>
      </c>
      <c r="T118" s="8">
        <v>5.0999999999999996</v>
      </c>
    </row>
    <row r="119" spans="1:20" x14ac:dyDescent="0.25">
      <c r="A119" s="5" t="s">
        <v>137</v>
      </c>
      <c r="C119">
        <v>5.5</v>
      </c>
      <c r="D119">
        <v>5.3</v>
      </c>
      <c r="E119">
        <v>5</v>
      </c>
      <c r="G119">
        <v>5.0999999999999996</v>
      </c>
      <c r="J119">
        <v>4.7</v>
      </c>
      <c r="K119">
        <v>4.7</v>
      </c>
      <c r="O119">
        <v>4.3</v>
      </c>
      <c r="P119">
        <v>4</v>
      </c>
      <c r="R119">
        <v>4.2</v>
      </c>
      <c r="S119">
        <v>4.0999999999999996</v>
      </c>
      <c r="T119" s="8">
        <v>4.2</v>
      </c>
    </row>
    <row r="120" spans="1:20" x14ac:dyDescent="0.25">
      <c r="A120" s="5" t="s">
        <v>138</v>
      </c>
      <c r="C120">
        <v>9.9</v>
      </c>
      <c r="D120">
        <v>10.4</v>
      </c>
      <c r="E120">
        <v>11.6</v>
      </c>
      <c r="F120">
        <v>10.3</v>
      </c>
      <c r="G120">
        <v>10.199999999999999</v>
      </c>
      <c r="H120">
        <v>10.199999999999999</v>
      </c>
      <c r="I120">
        <v>10.1</v>
      </c>
      <c r="J120">
        <v>10.1</v>
      </c>
      <c r="K120">
        <v>10.1</v>
      </c>
      <c r="L120">
        <v>9.8000000000000007</v>
      </c>
      <c r="M120">
        <v>9.8000000000000007</v>
      </c>
      <c r="N120">
        <v>9.8000000000000007</v>
      </c>
      <c r="O120">
        <v>9.8000000000000007</v>
      </c>
      <c r="P120">
        <v>9.8000000000000007</v>
      </c>
      <c r="Q120">
        <v>9.6</v>
      </c>
      <c r="R120">
        <v>9.6</v>
      </c>
      <c r="T120" s="8">
        <v>8.6</v>
      </c>
    </row>
    <row r="121" spans="1:20" x14ac:dyDescent="0.25">
      <c r="A121" s="5" t="s">
        <v>139</v>
      </c>
      <c r="C121">
        <v>10.199999999999999</v>
      </c>
      <c r="D121">
        <v>10.199999999999999</v>
      </c>
      <c r="E121">
        <v>6.1</v>
      </c>
      <c r="F121">
        <v>5.5</v>
      </c>
      <c r="G121">
        <v>5.4</v>
      </c>
      <c r="H121">
        <v>3.7</v>
      </c>
      <c r="J121">
        <v>3.4</v>
      </c>
      <c r="K121">
        <v>3.4</v>
      </c>
      <c r="L121">
        <v>2.4</v>
      </c>
      <c r="N121">
        <v>2.4</v>
      </c>
      <c r="O121">
        <v>2.4</v>
      </c>
      <c r="P121">
        <v>2.4</v>
      </c>
      <c r="R121">
        <v>2.4</v>
      </c>
      <c r="S121">
        <v>2.2999999999999998</v>
      </c>
      <c r="T121" s="8">
        <v>2.2999999999999998</v>
      </c>
    </row>
    <row r="122" spans="1:20" x14ac:dyDescent="0.25">
      <c r="A122" s="5" t="s">
        <v>140</v>
      </c>
      <c r="C122">
        <v>6.3</v>
      </c>
      <c r="D122">
        <v>6.3</v>
      </c>
      <c r="E122">
        <v>6.3</v>
      </c>
      <c r="F122">
        <v>6.3</v>
      </c>
      <c r="G122">
        <v>6.3</v>
      </c>
      <c r="H122">
        <v>6.1</v>
      </c>
      <c r="I122">
        <v>6.2</v>
      </c>
      <c r="J122">
        <v>6.3</v>
      </c>
      <c r="K122">
        <v>6.3</v>
      </c>
      <c r="L122">
        <v>6.3</v>
      </c>
      <c r="M122">
        <v>6.3</v>
      </c>
      <c r="N122">
        <v>6.3</v>
      </c>
      <c r="O122">
        <v>6.2</v>
      </c>
      <c r="P122">
        <v>6.1</v>
      </c>
      <c r="Q122">
        <v>6.1</v>
      </c>
      <c r="R122">
        <v>6.1</v>
      </c>
      <c r="S122">
        <v>6.1</v>
      </c>
      <c r="T122" s="8">
        <v>6</v>
      </c>
    </row>
    <row r="123" spans="1:20" x14ac:dyDescent="0.25">
      <c r="A123" s="5" t="s">
        <v>141</v>
      </c>
      <c r="C123">
        <v>5.2</v>
      </c>
      <c r="D123">
        <v>4.9000000000000004</v>
      </c>
      <c r="E123">
        <v>5.0999999999999996</v>
      </c>
      <c r="F123">
        <v>5</v>
      </c>
      <c r="H123">
        <v>5.0999999999999996</v>
      </c>
      <c r="I123">
        <v>4.7</v>
      </c>
      <c r="J123">
        <v>4.7</v>
      </c>
      <c r="K123">
        <v>4.7</v>
      </c>
      <c r="L123">
        <v>4.7</v>
      </c>
      <c r="M123">
        <v>4.7</v>
      </c>
      <c r="N123">
        <v>4.8</v>
      </c>
      <c r="O123">
        <v>4.8</v>
      </c>
      <c r="P123">
        <v>4.8</v>
      </c>
      <c r="Q123">
        <v>5.0999999999999996</v>
      </c>
      <c r="R123">
        <v>5.0999999999999996</v>
      </c>
      <c r="S123">
        <v>4.7</v>
      </c>
      <c r="T123" s="8">
        <v>4.7</v>
      </c>
    </row>
    <row r="124" spans="1:20" x14ac:dyDescent="0.25">
      <c r="A124" s="5" t="s">
        <v>142</v>
      </c>
      <c r="B124">
        <v>15.9</v>
      </c>
      <c r="T124" s="8"/>
    </row>
    <row r="125" spans="1:20" x14ac:dyDescent="0.25">
      <c r="A125" s="5" t="s">
        <v>143</v>
      </c>
      <c r="B125">
        <v>11.4</v>
      </c>
      <c r="D125">
        <v>11</v>
      </c>
      <c r="E125">
        <v>10.8</v>
      </c>
      <c r="F125">
        <v>10.5</v>
      </c>
      <c r="G125">
        <v>9.5</v>
      </c>
      <c r="H125">
        <v>9.4</v>
      </c>
      <c r="I125">
        <v>9.9</v>
      </c>
      <c r="J125">
        <v>9.6999999999999993</v>
      </c>
      <c r="K125">
        <v>8.4</v>
      </c>
      <c r="L125">
        <v>7.8</v>
      </c>
      <c r="M125">
        <v>7.2</v>
      </c>
      <c r="N125">
        <v>6.7</v>
      </c>
      <c r="O125">
        <v>6.8</v>
      </c>
      <c r="P125">
        <v>6.7</v>
      </c>
      <c r="Q125">
        <v>6.6</v>
      </c>
      <c r="R125">
        <v>6.6</v>
      </c>
      <c r="S125">
        <v>6.6</v>
      </c>
      <c r="T125" s="8">
        <v>6.6</v>
      </c>
    </row>
    <row r="126" spans="1:20" x14ac:dyDescent="0.25">
      <c r="A126" s="5" t="s">
        <v>144</v>
      </c>
      <c r="C126">
        <v>18.7</v>
      </c>
      <c r="E126">
        <v>18.600000000000001</v>
      </c>
      <c r="F126">
        <v>18.7</v>
      </c>
      <c r="G126">
        <v>12.5</v>
      </c>
      <c r="H126">
        <v>12.5</v>
      </c>
      <c r="I126">
        <v>12.8</v>
      </c>
      <c r="J126">
        <v>12.8</v>
      </c>
      <c r="K126">
        <v>12.7</v>
      </c>
      <c r="L126">
        <v>12.8</v>
      </c>
      <c r="M126">
        <v>12.7</v>
      </c>
      <c r="N126">
        <v>12.7</v>
      </c>
      <c r="O126">
        <v>11.3</v>
      </c>
      <c r="P126">
        <v>11.3</v>
      </c>
      <c r="Q126">
        <v>12.5</v>
      </c>
      <c r="R126">
        <v>12.4</v>
      </c>
      <c r="S126">
        <v>13.2</v>
      </c>
      <c r="T126" s="8">
        <v>13.3</v>
      </c>
    </row>
    <row r="127" spans="1:20" x14ac:dyDescent="0.25">
      <c r="A127" s="5" t="s">
        <v>145</v>
      </c>
      <c r="C127">
        <v>9.1999999999999993</v>
      </c>
      <c r="D127">
        <v>9.1999999999999993</v>
      </c>
      <c r="E127">
        <v>9.1999999999999993</v>
      </c>
      <c r="F127">
        <v>9.1999999999999993</v>
      </c>
      <c r="G127">
        <v>9.1999999999999993</v>
      </c>
      <c r="H127">
        <v>10.3</v>
      </c>
      <c r="J127">
        <v>10.4</v>
      </c>
      <c r="K127">
        <v>9.1</v>
      </c>
      <c r="L127">
        <v>9.1</v>
      </c>
      <c r="M127">
        <v>9.1999999999999993</v>
      </c>
      <c r="N127">
        <v>9.1999999999999993</v>
      </c>
      <c r="O127">
        <v>9.1</v>
      </c>
      <c r="P127">
        <v>9.1</v>
      </c>
      <c r="Q127">
        <v>9.1999999999999993</v>
      </c>
      <c r="T127" s="8"/>
    </row>
    <row r="128" spans="1:20" x14ac:dyDescent="0.25">
      <c r="A128" s="5" t="s">
        <v>146</v>
      </c>
      <c r="C128">
        <v>8.9</v>
      </c>
      <c r="D128">
        <v>8.9</v>
      </c>
      <c r="H128">
        <v>10.199999999999999</v>
      </c>
      <c r="J128">
        <v>10.3</v>
      </c>
      <c r="K128">
        <v>8.4</v>
      </c>
      <c r="L128">
        <v>9.1</v>
      </c>
      <c r="M128">
        <v>9.1</v>
      </c>
      <c r="P128">
        <v>9.1</v>
      </c>
      <c r="Q128">
        <v>9.1999999999999993</v>
      </c>
      <c r="R128">
        <v>9.1999999999999993</v>
      </c>
      <c r="T128" s="8"/>
    </row>
    <row r="129" spans="1:20" x14ac:dyDescent="0.25">
      <c r="A129" s="5" t="s">
        <v>147</v>
      </c>
      <c r="C129">
        <v>9.8000000000000007</v>
      </c>
      <c r="D129">
        <v>9.9</v>
      </c>
      <c r="H129">
        <v>10.1</v>
      </c>
      <c r="J129">
        <v>10.199999999999999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T129" s="8">
        <v>10.8</v>
      </c>
    </row>
    <row r="130" spans="1:20" x14ac:dyDescent="0.25">
      <c r="A130" s="5" t="s">
        <v>148</v>
      </c>
      <c r="I130">
        <v>11.4</v>
      </c>
      <c r="J130">
        <v>11.4</v>
      </c>
      <c r="K130">
        <v>11.4</v>
      </c>
      <c r="L130">
        <v>11.4</v>
      </c>
      <c r="M130">
        <v>11.4</v>
      </c>
      <c r="N130">
        <v>11.4</v>
      </c>
      <c r="O130">
        <v>11.4</v>
      </c>
      <c r="R130">
        <v>11.3</v>
      </c>
      <c r="T130" s="8"/>
    </row>
    <row r="131" spans="1:20" x14ac:dyDescent="0.25">
      <c r="A131" s="5" t="s">
        <v>149</v>
      </c>
      <c r="J131">
        <v>10.199999999999999</v>
      </c>
      <c r="K131">
        <v>10.199999999999999</v>
      </c>
      <c r="L131">
        <v>10</v>
      </c>
      <c r="M131">
        <v>10</v>
      </c>
      <c r="O131">
        <v>9.9</v>
      </c>
      <c r="P131">
        <v>9.9</v>
      </c>
      <c r="T131" s="8"/>
    </row>
    <row r="132" spans="1:20" x14ac:dyDescent="0.25">
      <c r="A132" s="5" t="s">
        <v>150</v>
      </c>
      <c r="C132">
        <v>5.2</v>
      </c>
      <c r="D132">
        <v>5</v>
      </c>
      <c r="E132">
        <v>5.2</v>
      </c>
      <c r="F132">
        <v>4.8</v>
      </c>
      <c r="H132">
        <v>4.9000000000000004</v>
      </c>
      <c r="I132">
        <v>5.0999999999999996</v>
      </c>
      <c r="J132">
        <v>4.8</v>
      </c>
      <c r="K132">
        <v>5.0999999999999996</v>
      </c>
      <c r="L132">
        <v>5.0999999999999996</v>
      </c>
      <c r="N132">
        <v>5.8</v>
      </c>
      <c r="O132">
        <v>5.3</v>
      </c>
      <c r="Q132">
        <v>5.6</v>
      </c>
      <c r="R132">
        <v>6.3</v>
      </c>
      <c r="S132">
        <v>6.3</v>
      </c>
      <c r="T132" s="8">
        <v>6.2</v>
      </c>
    </row>
    <row r="133" spans="1:20" x14ac:dyDescent="0.25">
      <c r="A133" s="5" t="s">
        <v>151</v>
      </c>
      <c r="C133">
        <v>12</v>
      </c>
      <c r="D133">
        <v>11.9</v>
      </c>
      <c r="E133">
        <v>11.9</v>
      </c>
      <c r="F133">
        <v>11.9</v>
      </c>
      <c r="G133">
        <v>11.9</v>
      </c>
      <c r="H133">
        <v>11.9</v>
      </c>
      <c r="I133">
        <v>11.9</v>
      </c>
      <c r="J133">
        <v>11.9</v>
      </c>
      <c r="K133">
        <v>11.9</v>
      </c>
      <c r="L133">
        <v>12.2</v>
      </c>
      <c r="M133">
        <v>12.2</v>
      </c>
      <c r="N133">
        <v>12.2</v>
      </c>
      <c r="O133">
        <v>12.2</v>
      </c>
      <c r="P133">
        <v>12.1</v>
      </c>
      <c r="Q133">
        <v>12.1</v>
      </c>
      <c r="R133">
        <v>12.1</v>
      </c>
      <c r="S133">
        <v>12</v>
      </c>
      <c r="T133" s="8">
        <v>12</v>
      </c>
    </row>
    <row r="134" spans="1:20" x14ac:dyDescent="0.25">
      <c r="A134" s="5" t="s">
        <v>152</v>
      </c>
      <c r="D134">
        <v>7.4</v>
      </c>
      <c r="E134">
        <v>7.4</v>
      </c>
      <c r="F134">
        <v>7.3</v>
      </c>
      <c r="G134">
        <v>7.3</v>
      </c>
      <c r="H134">
        <v>7.3</v>
      </c>
      <c r="J134">
        <v>7.4</v>
      </c>
      <c r="K134">
        <v>7.5</v>
      </c>
      <c r="L134">
        <v>7.4</v>
      </c>
      <c r="M134">
        <v>7.4</v>
      </c>
      <c r="N134">
        <v>7.4</v>
      </c>
      <c r="O134">
        <v>7.4</v>
      </c>
      <c r="P134">
        <v>7.4</v>
      </c>
      <c r="R134">
        <v>7.4</v>
      </c>
      <c r="S134">
        <v>7.3</v>
      </c>
      <c r="T134" s="8">
        <v>7.3</v>
      </c>
    </row>
    <row r="135" spans="1:20" x14ac:dyDescent="0.25">
      <c r="A135" s="5" t="s">
        <v>153</v>
      </c>
      <c r="D135">
        <v>8.1999999999999993</v>
      </c>
      <c r="G135">
        <v>7.6</v>
      </c>
      <c r="I135">
        <v>6.4</v>
      </c>
      <c r="L135">
        <v>2.9</v>
      </c>
      <c r="M135">
        <v>2.8</v>
      </c>
      <c r="N135">
        <v>2.7</v>
      </c>
      <c r="O135">
        <v>3.2</v>
      </c>
      <c r="P135">
        <v>2.5</v>
      </c>
      <c r="Q135">
        <v>2.5</v>
      </c>
      <c r="R135">
        <v>2.4</v>
      </c>
      <c r="S135">
        <v>2.5</v>
      </c>
      <c r="T135" s="8">
        <v>2.6</v>
      </c>
    </row>
    <row r="136" spans="1:20" x14ac:dyDescent="0.25">
      <c r="A136" s="5" t="s">
        <v>154</v>
      </c>
      <c r="C136">
        <v>13.6</v>
      </c>
      <c r="I136">
        <v>11.9</v>
      </c>
      <c r="P136">
        <v>12.1</v>
      </c>
      <c r="Q136">
        <v>12.1</v>
      </c>
      <c r="R136">
        <v>12.1</v>
      </c>
      <c r="S136">
        <v>12</v>
      </c>
      <c r="T136" s="8">
        <v>12</v>
      </c>
    </row>
    <row r="137" spans="1:20" x14ac:dyDescent="0.25">
      <c r="A137" s="5" t="s">
        <v>155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0.2</v>
      </c>
      <c r="J137">
        <v>0.2</v>
      </c>
      <c r="K137">
        <v>0.2</v>
      </c>
      <c r="L137">
        <v>0.1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8">
        <v>0</v>
      </c>
    </row>
    <row r="138" spans="1:20" x14ac:dyDescent="0.25">
      <c r="A138" s="5" t="s">
        <v>156</v>
      </c>
      <c r="C138">
        <v>14.5</v>
      </c>
      <c r="D138">
        <v>10.3</v>
      </c>
      <c r="E138">
        <v>9.9</v>
      </c>
      <c r="G138">
        <v>9.6999999999999993</v>
      </c>
      <c r="H138">
        <v>10.1</v>
      </c>
      <c r="I138">
        <v>10</v>
      </c>
      <c r="J138">
        <v>9.5</v>
      </c>
      <c r="L138">
        <v>9.6</v>
      </c>
      <c r="M138">
        <v>9.6</v>
      </c>
      <c r="N138">
        <v>9.6</v>
      </c>
      <c r="O138">
        <v>9.8000000000000007</v>
      </c>
      <c r="P138">
        <v>9.6</v>
      </c>
      <c r="R138">
        <v>9.9</v>
      </c>
      <c r="S138">
        <v>9.6</v>
      </c>
      <c r="T138" s="8"/>
    </row>
    <row r="139" spans="1:20" x14ac:dyDescent="0.25">
      <c r="A139" s="5" t="s">
        <v>157</v>
      </c>
      <c r="S139">
        <v>15.6</v>
      </c>
      <c r="T139" s="8">
        <v>15.6</v>
      </c>
    </row>
    <row r="140" spans="1:20" x14ac:dyDescent="0.25">
      <c r="A140" s="5" t="s">
        <v>158</v>
      </c>
      <c r="C140">
        <v>8</v>
      </c>
      <c r="D140">
        <v>7.8</v>
      </c>
      <c r="E140">
        <v>7.8</v>
      </c>
      <c r="F140">
        <v>7.7</v>
      </c>
      <c r="G140">
        <v>7.7</v>
      </c>
      <c r="H140">
        <v>7.7</v>
      </c>
      <c r="I140">
        <v>7.6</v>
      </c>
      <c r="J140">
        <v>7.6</v>
      </c>
      <c r="K140">
        <v>7.6</v>
      </c>
      <c r="L140">
        <v>7.6</v>
      </c>
      <c r="M140">
        <v>7.7</v>
      </c>
      <c r="N140">
        <v>7.6</v>
      </c>
      <c r="O140">
        <v>7.7</v>
      </c>
      <c r="P140">
        <v>7.7</v>
      </c>
      <c r="Q140">
        <v>7.7</v>
      </c>
      <c r="R140">
        <v>7.8</v>
      </c>
      <c r="S140">
        <v>7.6</v>
      </c>
      <c r="T140" s="8">
        <v>7.6</v>
      </c>
    </row>
    <row r="141" spans="1:20" x14ac:dyDescent="0.25">
      <c r="A141" s="5" t="s">
        <v>159</v>
      </c>
      <c r="S141">
        <v>10.199999999999999</v>
      </c>
      <c r="T141" s="8">
        <v>10.199999999999999</v>
      </c>
    </row>
    <row r="142" spans="1:20" x14ac:dyDescent="0.25">
      <c r="A142" s="5" t="s">
        <v>160</v>
      </c>
      <c r="C142">
        <v>11.2</v>
      </c>
      <c r="D142">
        <v>11</v>
      </c>
      <c r="E142">
        <v>11.2</v>
      </c>
      <c r="F142">
        <v>11.2</v>
      </c>
      <c r="G142">
        <v>10.6</v>
      </c>
      <c r="H142">
        <v>10.199999999999999</v>
      </c>
      <c r="I142">
        <v>9.9</v>
      </c>
      <c r="K142">
        <v>9.5</v>
      </c>
      <c r="L142">
        <v>9.3000000000000007</v>
      </c>
      <c r="N142">
        <v>9.3000000000000007</v>
      </c>
      <c r="O142">
        <v>9.3000000000000007</v>
      </c>
      <c r="P142">
        <v>9.3000000000000007</v>
      </c>
      <c r="R142">
        <v>6</v>
      </c>
      <c r="S142">
        <v>5.9</v>
      </c>
      <c r="T142" s="8">
        <v>8.4</v>
      </c>
    </row>
    <row r="143" spans="1:20" x14ac:dyDescent="0.25">
      <c r="A143" s="5" t="s">
        <v>161</v>
      </c>
      <c r="C143">
        <v>20.100000000000001</v>
      </c>
      <c r="E143">
        <v>20.399999999999999</v>
      </c>
      <c r="F143">
        <v>20.399999999999999</v>
      </c>
      <c r="G143">
        <v>19.899999999999999</v>
      </c>
      <c r="H143">
        <v>19.899999999999999</v>
      </c>
      <c r="I143">
        <v>21.2</v>
      </c>
      <c r="J143">
        <v>21.2</v>
      </c>
      <c r="N143">
        <v>21.5</v>
      </c>
      <c r="R143">
        <v>21.6</v>
      </c>
      <c r="T143" s="8"/>
    </row>
    <row r="144" spans="1:20" x14ac:dyDescent="0.25">
      <c r="A144" s="5" t="s">
        <v>162</v>
      </c>
      <c r="G144">
        <v>10.4</v>
      </c>
      <c r="H144">
        <v>10.3</v>
      </c>
      <c r="J144">
        <v>10.4</v>
      </c>
      <c r="M144">
        <v>10.4</v>
      </c>
      <c r="O144">
        <v>10.4</v>
      </c>
      <c r="P144">
        <v>10.4</v>
      </c>
      <c r="R144">
        <v>10.4</v>
      </c>
      <c r="T144" s="8">
        <v>10.4</v>
      </c>
    </row>
    <row r="145" spans="1:20" x14ac:dyDescent="0.25">
      <c r="A145" s="5" t="s">
        <v>163</v>
      </c>
      <c r="C145">
        <v>7.6</v>
      </c>
      <c r="D145">
        <v>7.5</v>
      </c>
      <c r="E145">
        <v>7.7</v>
      </c>
      <c r="F145">
        <v>6.5</v>
      </c>
      <c r="G145">
        <v>5.2</v>
      </c>
      <c r="H145">
        <v>7.8</v>
      </c>
      <c r="I145">
        <v>6.5</v>
      </c>
      <c r="J145">
        <v>6.8</v>
      </c>
      <c r="K145">
        <v>6.7</v>
      </c>
      <c r="L145">
        <v>6.7</v>
      </c>
      <c r="M145">
        <v>6.3</v>
      </c>
      <c r="N145">
        <v>6.4</v>
      </c>
      <c r="O145">
        <v>6.6</v>
      </c>
      <c r="P145">
        <v>6</v>
      </c>
      <c r="Q145">
        <v>5.3</v>
      </c>
      <c r="R145">
        <v>5.6</v>
      </c>
      <c r="S145">
        <v>5.6</v>
      </c>
      <c r="T145" s="8">
        <v>5.2</v>
      </c>
    </row>
    <row r="146" spans="1:20" x14ac:dyDescent="0.25">
      <c r="A146" s="5" t="s">
        <v>164</v>
      </c>
      <c r="F146">
        <v>14.2</v>
      </c>
      <c r="J146">
        <v>16.5</v>
      </c>
      <c r="Q146">
        <v>10.8</v>
      </c>
      <c r="T146" s="8"/>
    </row>
    <row r="147" spans="1:20" x14ac:dyDescent="0.25">
      <c r="A147" s="5" t="s">
        <v>165</v>
      </c>
      <c r="C147">
        <v>6.4</v>
      </c>
      <c r="D147">
        <v>6.3</v>
      </c>
      <c r="E147">
        <v>6.1</v>
      </c>
      <c r="F147">
        <v>6.1</v>
      </c>
      <c r="G147">
        <v>6.1</v>
      </c>
      <c r="H147">
        <v>6.1</v>
      </c>
      <c r="I147">
        <v>6.1</v>
      </c>
      <c r="J147">
        <v>6</v>
      </c>
      <c r="K147">
        <v>6.5</v>
      </c>
      <c r="L147">
        <v>6.4</v>
      </c>
      <c r="M147">
        <v>6.4</v>
      </c>
      <c r="N147">
        <v>6.4</v>
      </c>
      <c r="O147">
        <v>6.5</v>
      </c>
      <c r="P147">
        <v>6.6</v>
      </c>
      <c r="Q147">
        <v>6.5</v>
      </c>
      <c r="R147">
        <v>6.6</v>
      </c>
      <c r="S147">
        <v>6.5</v>
      </c>
      <c r="T147" s="8">
        <v>6.5</v>
      </c>
    </row>
    <row r="148" spans="1:20" x14ac:dyDescent="0.25">
      <c r="A148" s="5" t="s">
        <v>166</v>
      </c>
      <c r="C148">
        <v>7.9</v>
      </c>
      <c r="F148">
        <v>8</v>
      </c>
      <c r="G148">
        <v>7.8</v>
      </c>
      <c r="H148">
        <v>7.8</v>
      </c>
      <c r="I148">
        <v>7.8</v>
      </c>
      <c r="J148">
        <v>7.8</v>
      </c>
      <c r="K148">
        <v>7.7</v>
      </c>
      <c r="L148">
        <v>7.6</v>
      </c>
      <c r="M148">
        <v>7.6</v>
      </c>
      <c r="N148">
        <v>7.7</v>
      </c>
      <c r="R148">
        <v>8</v>
      </c>
      <c r="T148" s="8"/>
    </row>
    <row r="149" spans="1:20" x14ac:dyDescent="0.25">
      <c r="A149" s="5" t="s">
        <v>167</v>
      </c>
      <c r="C149">
        <v>12.7</v>
      </c>
      <c r="D149">
        <v>12.7</v>
      </c>
      <c r="E149">
        <v>12.6</v>
      </c>
      <c r="F149">
        <v>12.6</v>
      </c>
      <c r="G149">
        <v>12.5</v>
      </c>
      <c r="H149">
        <v>12.5</v>
      </c>
      <c r="I149">
        <v>12.9</v>
      </c>
      <c r="J149">
        <v>12.8</v>
      </c>
      <c r="K149">
        <v>12.8</v>
      </c>
      <c r="L149">
        <v>12.9</v>
      </c>
      <c r="M149">
        <v>12.9</v>
      </c>
      <c r="N149">
        <v>12.9</v>
      </c>
      <c r="O149">
        <v>13</v>
      </c>
      <c r="P149">
        <v>13.1</v>
      </c>
      <c r="Q149">
        <v>13.1</v>
      </c>
      <c r="R149">
        <v>13.1</v>
      </c>
      <c r="S149">
        <v>13.9</v>
      </c>
      <c r="T149" s="8">
        <v>14.1</v>
      </c>
    </row>
    <row r="150" spans="1:20" x14ac:dyDescent="0.25">
      <c r="A150" s="5" t="s">
        <v>168</v>
      </c>
      <c r="C150">
        <v>10</v>
      </c>
      <c r="D150">
        <v>10.5</v>
      </c>
      <c r="F150">
        <v>9.9</v>
      </c>
      <c r="G150">
        <v>9.9</v>
      </c>
      <c r="H150">
        <v>9.8000000000000007</v>
      </c>
      <c r="J150">
        <v>11.4</v>
      </c>
      <c r="K150">
        <v>11.6</v>
      </c>
      <c r="L150">
        <v>11</v>
      </c>
      <c r="N150">
        <v>9.6</v>
      </c>
      <c r="P150">
        <v>10.199999999999999</v>
      </c>
      <c r="Q150">
        <v>10.199999999999999</v>
      </c>
      <c r="R150">
        <v>11.5</v>
      </c>
      <c r="S150">
        <v>9.6999999999999993</v>
      </c>
      <c r="T150" s="8">
        <v>9.8000000000000007</v>
      </c>
    </row>
    <row r="151" spans="1:20" x14ac:dyDescent="0.25">
      <c r="A151" s="5" t="s">
        <v>169</v>
      </c>
      <c r="H151">
        <v>2.5</v>
      </c>
      <c r="I151">
        <v>2.5</v>
      </c>
      <c r="J151">
        <v>2.5</v>
      </c>
      <c r="K151">
        <v>2.5</v>
      </c>
      <c r="L151">
        <v>2.5</v>
      </c>
      <c r="M151">
        <v>2.5</v>
      </c>
      <c r="R151">
        <v>2.5</v>
      </c>
      <c r="S151">
        <v>2.5</v>
      </c>
      <c r="T151" s="8">
        <v>2.5</v>
      </c>
    </row>
    <row r="152" spans="1:20" x14ac:dyDescent="0.25">
      <c r="A152" s="5" t="s">
        <v>170</v>
      </c>
      <c r="C152">
        <v>12</v>
      </c>
      <c r="D152">
        <v>11.9</v>
      </c>
      <c r="E152">
        <v>11.9</v>
      </c>
      <c r="F152">
        <v>11.9</v>
      </c>
      <c r="G152">
        <v>11.9</v>
      </c>
      <c r="H152">
        <v>11.9</v>
      </c>
      <c r="I152">
        <v>11.9</v>
      </c>
      <c r="J152">
        <v>11.9</v>
      </c>
      <c r="K152">
        <v>11.9</v>
      </c>
      <c r="L152">
        <v>12.2</v>
      </c>
      <c r="M152">
        <v>12.2</v>
      </c>
      <c r="N152">
        <v>12.2</v>
      </c>
      <c r="O152">
        <v>12.2</v>
      </c>
      <c r="P152">
        <v>12.1</v>
      </c>
      <c r="Q152">
        <v>12.1</v>
      </c>
      <c r="R152">
        <v>12.1</v>
      </c>
      <c r="S152">
        <v>12</v>
      </c>
      <c r="T152" s="8">
        <v>12</v>
      </c>
    </row>
    <row r="153" spans="1:20" x14ac:dyDescent="0.25">
      <c r="A153" s="5" t="s">
        <v>171</v>
      </c>
      <c r="C153">
        <v>15.6</v>
      </c>
      <c r="F153">
        <v>11.7</v>
      </c>
      <c r="G153">
        <v>11.7</v>
      </c>
      <c r="H153">
        <v>11.7</v>
      </c>
      <c r="I153">
        <v>12</v>
      </c>
      <c r="J153">
        <v>11.7</v>
      </c>
      <c r="K153">
        <v>11.7</v>
      </c>
      <c r="L153">
        <v>11.7</v>
      </c>
      <c r="M153">
        <v>11</v>
      </c>
      <c r="N153">
        <v>11.2</v>
      </c>
      <c r="R153">
        <v>10.7</v>
      </c>
      <c r="S153">
        <v>10.7</v>
      </c>
      <c r="T153" s="8">
        <v>10.7</v>
      </c>
    </row>
    <row r="154" spans="1:20" x14ac:dyDescent="0.25">
      <c r="A154" s="5" t="s">
        <v>172</v>
      </c>
      <c r="C154">
        <v>7.8</v>
      </c>
      <c r="D154">
        <v>7.5</v>
      </c>
      <c r="E154">
        <v>7.5</v>
      </c>
      <c r="H154">
        <v>7.5</v>
      </c>
      <c r="J154">
        <v>10.7</v>
      </c>
      <c r="O154">
        <v>8.1</v>
      </c>
      <c r="R154">
        <v>8.3000000000000007</v>
      </c>
      <c r="S154">
        <v>8.3000000000000007</v>
      </c>
      <c r="T154" s="8">
        <v>8.1999999999999993</v>
      </c>
    </row>
    <row r="155" spans="1:20" x14ac:dyDescent="0.25">
      <c r="A155" s="5" t="s">
        <v>173</v>
      </c>
      <c r="C155">
        <v>26.8</v>
      </c>
      <c r="E155">
        <v>21.5</v>
      </c>
      <c r="G155">
        <v>16.5</v>
      </c>
      <c r="H155">
        <v>16</v>
      </c>
      <c r="I155">
        <v>15.5</v>
      </c>
      <c r="J155">
        <v>14.1</v>
      </c>
      <c r="L155">
        <v>15.5</v>
      </c>
      <c r="M155">
        <v>11.6</v>
      </c>
      <c r="S155">
        <v>19.5</v>
      </c>
      <c r="T155" s="8">
        <v>19.5</v>
      </c>
    </row>
    <row r="156" spans="1:20" x14ac:dyDescent="0.25">
      <c r="A156" s="5" t="s">
        <v>174</v>
      </c>
      <c r="C156">
        <v>9.6</v>
      </c>
      <c r="D156">
        <v>10</v>
      </c>
      <c r="E156">
        <v>9.8000000000000007</v>
      </c>
      <c r="G156">
        <v>9.9</v>
      </c>
      <c r="H156">
        <v>9.6</v>
      </c>
      <c r="J156">
        <v>10.8</v>
      </c>
      <c r="K156">
        <v>10.7</v>
      </c>
      <c r="L156">
        <v>10.8</v>
      </c>
      <c r="M156">
        <v>10.9</v>
      </c>
      <c r="N156">
        <v>10.9</v>
      </c>
      <c r="O156">
        <v>10.7</v>
      </c>
      <c r="P156">
        <v>11.1</v>
      </c>
      <c r="R156">
        <v>10.7</v>
      </c>
      <c r="S156">
        <v>16.8</v>
      </c>
      <c r="T156" s="8">
        <v>16.2</v>
      </c>
    </row>
    <row r="157" spans="1:20" x14ac:dyDescent="0.25">
      <c r="A157" s="5" t="s">
        <v>175</v>
      </c>
      <c r="G157">
        <v>7.7</v>
      </c>
      <c r="T157" s="8"/>
    </row>
    <row r="158" spans="1:20" x14ac:dyDescent="0.25">
      <c r="A158" s="5" t="s">
        <v>176</v>
      </c>
      <c r="C158">
        <v>12.7</v>
      </c>
      <c r="D158">
        <v>12.6</v>
      </c>
      <c r="E158">
        <v>12.6</v>
      </c>
      <c r="F158">
        <v>12.6</v>
      </c>
      <c r="G158">
        <v>12.5</v>
      </c>
      <c r="H158">
        <v>12.5</v>
      </c>
      <c r="I158">
        <v>12.8</v>
      </c>
      <c r="J158">
        <v>12.8</v>
      </c>
      <c r="K158">
        <v>12.7</v>
      </c>
      <c r="L158">
        <v>12.8</v>
      </c>
      <c r="M158">
        <v>12.8</v>
      </c>
      <c r="N158">
        <v>12.7</v>
      </c>
      <c r="O158">
        <v>13</v>
      </c>
      <c r="P158">
        <v>13.5</v>
      </c>
      <c r="Q158">
        <v>13.7</v>
      </c>
      <c r="R158">
        <v>17.600000000000001</v>
      </c>
      <c r="S158">
        <v>18.399999999999999</v>
      </c>
      <c r="T158" s="8">
        <v>15.6</v>
      </c>
    </row>
    <row r="159" spans="1:20" x14ac:dyDescent="0.25">
      <c r="A159" s="5" t="s">
        <v>177</v>
      </c>
      <c r="C159">
        <v>6.9</v>
      </c>
      <c r="E159">
        <v>5.5</v>
      </c>
      <c r="F159">
        <v>4.5</v>
      </c>
      <c r="G159">
        <v>4.5</v>
      </c>
      <c r="H159">
        <v>4.5</v>
      </c>
      <c r="I159">
        <v>4.5</v>
      </c>
      <c r="J159">
        <v>4.5</v>
      </c>
      <c r="K159">
        <v>4.5</v>
      </c>
      <c r="L159">
        <v>4.5</v>
      </c>
      <c r="M159">
        <v>4.5</v>
      </c>
      <c r="N159">
        <v>4.5</v>
      </c>
      <c r="O159">
        <v>4.5</v>
      </c>
      <c r="P159">
        <v>4.5</v>
      </c>
      <c r="Q159">
        <v>4.5</v>
      </c>
      <c r="R159">
        <v>4.4000000000000004</v>
      </c>
      <c r="S159">
        <v>4.4000000000000004</v>
      </c>
      <c r="T159" s="8">
        <v>4.3</v>
      </c>
    </row>
    <row r="160" spans="1:20" x14ac:dyDescent="0.25">
      <c r="A160" s="5" t="s">
        <v>178</v>
      </c>
      <c r="C160">
        <v>5</v>
      </c>
      <c r="D160">
        <v>5</v>
      </c>
      <c r="E160">
        <v>5</v>
      </c>
      <c r="F160">
        <v>4.9000000000000004</v>
      </c>
      <c r="H160">
        <v>4.9000000000000004</v>
      </c>
      <c r="I160">
        <v>4.7</v>
      </c>
      <c r="J160">
        <v>4.7</v>
      </c>
      <c r="K160">
        <v>4.7</v>
      </c>
      <c r="L160">
        <v>4.7</v>
      </c>
      <c r="M160">
        <v>4.7</v>
      </c>
      <c r="N160">
        <v>4.8</v>
      </c>
      <c r="O160">
        <v>4.8</v>
      </c>
      <c r="P160">
        <v>4.8</v>
      </c>
      <c r="Q160">
        <v>4.7</v>
      </c>
      <c r="R160">
        <v>4.8</v>
      </c>
      <c r="S160">
        <v>4.7</v>
      </c>
      <c r="T160" s="8">
        <v>4.7</v>
      </c>
    </row>
    <row r="161" spans="1:20" x14ac:dyDescent="0.25">
      <c r="A161" s="5" t="s">
        <v>179</v>
      </c>
      <c r="R161">
        <v>3.9</v>
      </c>
      <c r="S161">
        <v>3.8</v>
      </c>
      <c r="T161" s="8">
        <v>3.8</v>
      </c>
    </row>
    <row r="162" spans="1:20" x14ac:dyDescent="0.25">
      <c r="A162" s="5" t="s">
        <v>180</v>
      </c>
      <c r="C162">
        <v>3.5</v>
      </c>
      <c r="D162">
        <v>3.5</v>
      </c>
      <c r="E162">
        <v>3.5</v>
      </c>
      <c r="F162">
        <v>3.5</v>
      </c>
      <c r="G162">
        <v>3.5</v>
      </c>
      <c r="H162">
        <v>3.5</v>
      </c>
      <c r="I162">
        <v>3.4</v>
      </c>
      <c r="J162">
        <v>3.4</v>
      </c>
      <c r="K162">
        <v>3.5</v>
      </c>
      <c r="L162">
        <v>3.5</v>
      </c>
      <c r="M162">
        <v>3.5</v>
      </c>
      <c r="N162">
        <v>3.4</v>
      </c>
      <c r="O162">
        <v>3.5</v>
      </c>
      <c r="P162">
        <v>3.3</v>
      </c>
      <c r="Q162">
        <v>3.4</v>
      </c>
      <c r="R162">
        <v>3.4</v>
      </c>
      <c r="S162">
        <v>3.3</v>
      </c>
      <c r="T162" s="8">
        <v>3.3</v>
      </c>
    </row>
    <row r="163" spans="1:20" x14ac:dyDescent="0.25">
      <c r="A163" s="5" t="s">
        <v>181</v>
      </c>
      <c r="C163">
        <v>10.6</v>
      </c>
      <c r="D163">
        <v>10.6</v>
      </c>
      <c r="E163">
        <v>10.5</v>
      </c>
      <c r="F163">
        <v>10.5</v>
      </c>
      <c r="G163">
        <v>10.6</v>
      </c>
      <c r="H163">
        <v>10.5</v>
      </c>
      <c r="I163">
        <v>10.5</v>
      </c>
      <c r="J163">
        <v>10.5</v>
      </c>
      <c r="K163">
        <v>10.5</v>
      </c>
      <c r="L163">
        <v>10.5</v>
      </c>
      <c r="M163">
        <v>10.4</v>
      </c>
      <c r="N163">
        <v>10.3</v>
      </c>
      <c r="O163">
        <v>10.3</v>
      </c>
      <c r="P163">
        <v>10.3</v>
      </c>
      <c r="Q163">
        <v>10.3</v>
      </c>
      <c r="R163">
        <v>10.3</v>
      </c>
      <c r="S163">
        <v>10.1</v>
      </c>
      <c r="T163" s="8">
        <v>10.1</v>
      </c>
    </row>
    <row r="164" spans="1:20" x14ac:dyDescent="0.25">
      <c r="A164" s="5" t="s">
        <v>182</v>
      </c>
      <c r="C164">
        <v>15.6</v>
      </c>
      <c r="D164">
        <v>15.6</v>
      </c>
      <c r="E164">
        <v>15.5</v>
      </c>
      <c r="F164">
        <v>15.4</v>
      </c>
      <c r="I164">
        <v>15.4</v>
      </c>
      <c r="K164">
        <v>14.8</v>
      </c>
      <c r="L164">
        <v>14.8</v>
      </c>
      <c r="Q164">
        <v>7.6</v>
      </c>
      <c r="R164">
        <v>7.3</v>
      </c>
      <c r="T164" s="8"/>
    </row>
    <row r="165" spans="1:20" x14ac:dyDescent="0.25">
      <c r="A165" s="5" t="s">
        <v>183</v>
      </c>
      <c r="C165">
        <v>16.3</v>
      </c>
      <c r="D165">
        <v>16.600000000000001</v>
      </c>
      <c r="E165">
        <v>16.100000000000001</v>
      </c>
      <c r="F165">
        <v>15.5</v>
      </c>
      <c r="I165">
        <v>9.1</v>
      </c>
      <c r="L165">
        <v>7.5</v>
      </c>
      <c r="M165">
        <v>7.5</v>
      </c>
      <c r="N165">
        <v>9.1999999999999993</v>
      </c>
      <c r="O165">
        <v>9.1999999999999993</v>
      </c>
      <c r="Q165">
        <v>9.1999999999999993</v>
      </c>
      <c r="R165">
        <v>9.1999999999999993</v>
      </c>
      <c r="S165">
        <v>9.1999999999999993</v>
      </c>
      <c r="T165" s="8">
        <v>9</v>
      </c>
    </row>
    <row r="166" spans="1:20" x14ac:dyDescent="0.25">
      <c r="A166" s="5" t="s">
        <v>184</v>
      </c>
      <c r="C166">
        <v>13</v>
      </c>
      <c r="D166">
        <v>13.2</v>
      </c>
      <c r="E166">
        <v>13.3</v>
      </c>
      <c r="F166">
        <v>12.5</v>
      </c>
      <c r="G166">
        <v>12.5</v>
      </c>
      <c r="H166">
        <v>12.5</v>
      </c>
      <c r="I166">
        <v>13.3</v>
      </c>
      <c r="J166">
        <v>13.3</v>
      </c>
      <c r="K166">
        <v>12.9</v>
      </c>
      <c r="L166">
        <v>12.9</v>
      </c>
      <c r="M166">
        <v>12.7</v>
      </c>
      <c r="N166">
        <v>13.8</v>
      </c>
      <c r="O166">
        <v>13.8</v>
      </c>
      <c r="P166">
        <v>13.8</v>
      </c>
      <c r="R166">
        <v>13.8</v>
      </c>
      <c r="S166">
        <v>13.8</v>
      </c>
      <c r="T166" s="8">
        <v>13.8</v>
      </c>
    </row>
    <row r="167" spans="1:20" x14ac:dyDescent="0.25">
      <c r="A167" s="5" t="s">
        <v>185</v>
      </c>
      <c r="C167">
        <v>16.8</v>
      </c>
      <c r="D167">
        <v>16.8</v>
      </c>
      <c r="F167">
        <v>10.9</v>
      </c>
      <c r="G167">
        <v>9.8000000000000007</v>
      </c>
      <c r="I167">
        <v>9.5</v>
      </c>
      <c r="J167">
        <v>9.5</v>
      </c>
      <c r="K167">
        <v>9.5</v>
      </c>
      <c r="L167">
        <v>9.5</v>
      </c>
      <c r="M167">
        <v>9.6</v>
      </c>
      <c r="N167">
        <v>9.6</v>
      </c>
      <c r="O167">
        <v>9.5</v>
      </c>
      <c r="P167">
        <v>9.6</v>
      </c>
      <c r="Q167">
        <v>9.5</v>
      </c>
      <c r="R167">
        <v>9.6</v>
      </c>
      <c r="S167">
        <v>9.6</v>
      </c>
      <c r="T167" s="8">
        <v>9.4</v>
      </c>
    </row>
    <row r="168" spans="1:20" x14ac:dyDescent="0.25">
      <c r="A168" s="5" t="s">
        <v>186</v>
      </c>
      <c r="C168">
        <v>7.1</v>
      </c>
      <c r="F168">
        <v>7.1</v>
      </c>
      <c r="H168">
        <v>7.1</v>
      </c>
      <c r="I168">
        <v>7.5</v>
      </c>
      <c r="J168">
        <v>7.5</v>
      </c>
      <c r="L168">
        <v>7.5</v>
      </c>
      <c r="M168">
        <v>7.5</v>
      </c>
      <c r="N168">
        <v>7.6</v>
      </c>
      <c r="T168" s="8"/>
    </row>
    <row r="169" spans="1:20" x14ac:dyDescent="0.25">
      <c r="A169" s="5" t="s">
        <v>187</v>
      </c>
      <c r="B169">
        <v>13.9</v>
      </c>
      <c r="D169">
        <v>13.9</v>
      </c>
      <c r="E169">
        <v>13.8</v>
      </c>
      <c r="F169">
        <v>13.6</v>
      </c>
      <c r="G169">
        <v>13.4</v>
      </c>
      <c r="H169">
        <v>13.4</v>
      </c>
      <c r="I169">
        <v>13.7</v>
      </c>
      <c r="J169">
        <v>13.2</v>
      </c>
      <c r="K169">
        <v>13.5</v>
      </c>
      <c r="L169">
        <v>13.6</v>
      </c>
      <c r="M169">
        <v>13.9</v>
      </c>
      <c r="O169">
        <v>13.5</v>
      </c>
      <c r="R169">
        <v>14.6</v>
      </c>
      <c r="S169">
        <v>14.6</v>
      </c>
      <c r="T169" s="8">
        <v>14.6</v>
      </c>
    </row>
    <row r="170" spans="1:20" x14ac:dyDescent="0.25">
      <c r="A170" s="6" t="s">
        <v>188</v>
      </c>
      <c r="B170" s="2"/>
      <c r="C170" s="2"/>
      <c r="D170" s="2">
        <v>20</v>
      </c>
      <c r="E170" s="2">
        <v>25.6</v>
      </c>
      <c r="F170" s="2"/>
      <c r="G170" s="2">
        <v>19.5</v>
      </c>
      <c r="H170" s="2">
        <v>15.9</v>
      </c>
      <c r="I170" s="2">
        <v>16.8</v>
      </c>
      <c r="J170" s="2"/>
      <c r="K170" s="2">
        <v>16.3</v>
      </c>
      <c r="L170" s="2">
        <v>16.8</v>
      </c>
      <c r="M170" s="2">
        <v>17.399999999999999</v>
      </c>
      <c r="N170" s="2">
        <v>17.5</v>
      </c>
      <c r="O170" s="2"/>
      <c r="P170" s="2"/>
      <c r="Q170" s="2">
        <v>18.100000000000001</v>
      </c>
      <c r="R170" s="2">
        <v>18</v>
      </c>
      <c r="S170" s="2"/>
      <c r="T170" s="4"/>
    </row>
  </sheetData>
  <autoFilter ref="A3:T170" xr:uid="{00000000-0001-0000-0000-000000000000}"/>
  <mergeCells count="1">
    <mergeCell ref="B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18A3-6861-4AFE-BDD8-69670B02F5FB}">
  <dimension ref="A1:C159"/>
  <sheetViews>
    <sheetView topLeftCell="A123" workbookViewId="0">
      <selection activeCell="B159" sqref="B159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0.31999999999999995</v>
      </c>
    </row>
    <row r="6" spans="1:1" x14ac:dyDescent="0.25">
      <c r="A6">
        <v>0.79999999999999993</v>
      </c>
    </row>
    <row r="7" spans="1:1" x14ac:dyDescent="0.25">
      <c r="A7">
        <v>1.4166666666666667</v>
      </c>
    </row>
    <row r="8" spans="1:1" x14ac:dyDescent="0.25">
      <c r="A8">
        <v>1.9333333333333336</v>
      </c>
    </row>
    <row r="9" spans="1:1" x14ac:dyDescent="0.25">
      <c r="A9">
        <v>2.3600000000000003</v>
      </c>
    </row>
    <row r="10" spans="1:1" x14ac:dyDescent="0.25">
      <c r="A10">
        <v>2.416666666666667</v>
      </c>
    </row>
    <row r="11" spans="1:1" x14ac:dyDescent="0.25">
      <c r="A11">
        <v>2.5</v>
      </c>
    </row>
    <row r="12" spans="1:1" x14ac:dyDescent="0.25">
      <c r="A12">
        <v>2.6166666666666667</v>
      </c>
    </row>
    <row r="13" spans="1:1" x14ac:dyDescent="0.25">
      <c r="A13">
        <v>3.08</v>
      </c>
    </row>
    <row r="14" spans="1:1" x14ac:dyDescent="0.25">
      <c r="A14">
        <v>3.3666666666666667</v>
      </c>
    </row>
    <row r="15" spans="1:1" x14ac:dyDescent="0.25">
      <c r="A15">
        <v>3.38</v>
      </c>
    </row>
    <row r="16" spans="1:1" x14ac:dyDescent="0.25">
      <c r="A16">
        <v>3.4200000000000004</v>
      </c>
    </row>
    <row r="17" spans="1:1" x14ac:dyDescent="0.25">
      <c r="A17">
        <v>3.5833333333333335</v>
      </c>
    </row>
    <row r="18" spans="1:1" x14ac:dyDescent="0.25">
      <c r="A18">
        <v>3.6999999999999997</v>
      </c>
    </row>
    <row r="19" spans="1:1" x14ac:dyDescent="0.25">
      <c r="A19">
        <v>3.8333333333333335</v>
      </c>
    </row>
    <row r="20" spans="1:1" x14ac:dyDescent="0.25">
      <c r="A20">
        <v>3.9</v>
      </c>
    </row>
    <row r="21" spans="1:1" x14ac:dyDescent="0.25">
      <c r="A21">
        <v>3.9000000000000004</v>
      </c>
    </row>
    <row r="22" spans="1:1" x14ac:dyDescent="0.25">
      <c r="A22">
        <v>4.1499999999999995</v>
      </c>
    </row>
    <row r="23" spans="1:1" x14ac:dyDescent="0.25">
      <c r="A23">
        <v>4.16</v>
      </c>
    </row>
    <row r="24" spans="1:1" x14ac:dyDescent="0.25">
      <c r="A24">
        <v>4.4333333333333327</v>
      </c>
    </row>
    <row r="25" spans="1:1" x14ac:dyDescent="0.25">
      <c r="A25">
        <v>4.7</v>
      </c>
    </row>
    <row r="26" spans="1:1" x14ac:dyDescent="0.25">
      <c r="A26">
        <v>4.7333333333333334</v>
      </c>
    </row>
    <row r="27" spans="1:1" x14ac:dyDescent="0.25">
      <c r="A27">
        <v>4.75</v>
      </c>
    </row>
    <row r="28" spans="1:1" x14ac:dyDescent="0.25">
      <c r="A28">
        <v>4.7833333333333332</v>
      </c>
    </row>
    <row r="29" spans="1:1" x14ac:dyDescent="0.25">
      <c r="A29">
        <v>4.8666666666666663</v>
      </c>
    </row>
    <row r="30" spans="1:1" x14ac:dyDescent="0.25">
      <c r="A30">
        <v>4.9000000000000004</v>
      </c>
    </row>
    <row r="31" spans="1:1" x14ac:dyDescent="0.25">
      <c r="A31">
        <v>5.0749999999999993</v>
      </c>
    </row>
    <row r="32" spans="1:1" x14ac:dyDescent="0.25">
      <c r="A32">
        <v>5.1000000000000005</v>
      </c>
    </row>
    <row r="33" spans="1:1" x14ac:dyDescent="0.25">
      <c r="A33">
        <v>5.1166666666666671</v>
      </c>
    </row>
    <row r="34" spans="1:1" x14ac:dyDescent="0.25">
      <c r="A34">
        <v>5.2</v>
      </c>
    </row>
    <row r="35" spans="1:1" x14ac:dyDescent="0.25">
      <c r="A35">
        <v>5.3</v>
      </c>
    </row>
    <row r="36" spans="1:1" x14ac:dyDescent="0.25">
      <c r="A36">
        <v>5.5666666666666664</v>
      </c>
    </row>
    <row r="37" spans="1:1" x14ac:dyDescent="0.25">
      <c r="A37">
        <v>5.5666666666666664</v>
      </c>
    </row>
    <row r="38" spans="1:1" x14ac:dyDescent="0.25">
      <c r="A38">
        <v>5.6</v>
      </c>
    </row>
    <row r="39" spans="1:1" x14ac:dyDescent="0.25">
      <c r="A39">
        <v>5.62</v>
      </c>
    </row>
    <row r="40" spans="1:1" x14ac:dyDescent="0.25">
      <c r="A40">
        <v>5.666666666666667</v>
      </c>
    </row>
    <row r="41" spans="1:1" x14ac:dyDescent="0.25">
      <c r="A41">
        <v>5.6999999999999993</v>
      </c>
    </row>
    <row r="42" spans="1:1" x14ac:dyDescent="0.25">
      <c r="A42">
        <v>5.7166666666666677</v>
      </c>
    </row>
    <row r="43" spans="1:1" x14ac:dyDescent="0.25">
      <c r="A43">
        <v>5.7333333333333334</v>
      </c>
    </row>
    <row r="44" spans="1:1" x14ac:dyDescent="0.25">
      <c r="A44">
        <v>5.833333333333333</v>
      </c>
    </row>
    <row r="45" spans="1:1" x14ac:dyDescent="0.25">
      <c r="A45">
        <v>5.9333333333333336</v>
      </c>
    </row>
    <row r="46" spans="1:1" x14ac:dyDescent="0.25">
      <c r="A46">
        <v>5.9399999999999995</v>
      </c>
    </row>
    <row r="47" spans="1:1" x14ac:dyDescent="0.25">
      <c r="A47">
        <v>6</v>
      </c>
    </row>
    <row r="48" spans="1:1" x14ac:dyDescent="0.25">
      <c r="A48">
        <v>6</v>
      </c>
    </row>
    <row r="49" spans="1:1" x14ac:dyDescent="0.25">
      <c r="A49">
        <v>6.1000000000000005</v>
      </c>
    </row>
    <row r="50" spans="1:1" x14ac:dyDescent="0.25">
      <c r="A50">
        <v>6.2799999999999994</v>
      </c>
    </row>
    <row r="51" spans="1:1" x14ac:dyDescent="0.25">
      <c r="A51">
        <v>6.3400000000000007</v>
      </c>
    </row>
    <row r="52" spans="1:1" x14ac:dyDescent="0.25">
      <c r="A52">
        <v>6.5</v>
      </c>
    </row>
    <row r="53" spans="1:1" x14ac:dyDescent="0.25">
      <c r="A53">
        <v>6.5166666666666666</v>
      </c>
    </row>
    <row r="54" spans="1:1" x14ac:dyDescent="0.25">
      <c r="A54">
        <v>6.5333333333333341</v>
      </c>
    </row>
    <row r="55" spans="1:1" x14ac:dyDescent="0.25">
      <c r="A55">
        <v>6.6499999999999995</v>
      </c>
    </row>
    <row r="56" spans="1:1" x14ac:dyDescent="0.25">
      <c r="A56">
        <v>6.6500000000000012</v>
      </c>
    </row>
    <row r="57" spans="1:1" x14ac:dyDescent="0.25">
      <c r="A57">
        <v>6.68</v>
      </c>
    </row>
    <row r="58" spans="1:1" x14ac:dyDescent="0.25">
      <c r="A58">
        <v>6.7</v>
      </c>
    </row>
    <row r="59" spans="1:1" x14ac:dyDescent="0.25">
      <c r="A59">
        <v>6.8666666666666671</v>
      </c>
    </row>
    <row r="60" spans="1:1" x14ac:dyDescent="0.25">
      <c r="A60">
        <v>6.9</v>
      </c>
    </row>
    <row r="61" spans="1:1" x14ac:dyDescent="0.25">
      <c r="A61">
        <v>7.0333333333333323</v>
      </c>
    </row>
    <row r="62" spans="1:1" x14ac:dyDescent="0.25">
      <c r="A62">
        <v>7.3600000000000012</v>
      </c>
    </row>
    <row r="63" spans="1:1" x14ac:dyDescent="0.25">
      <c r="A63">
        <v>7.4499999999999993</v>
      </c>
    </row>
    <row r="64" spans="1:1" x14ac:dyDescent="0.25">
      <c r="A64">
        <v>7.58</v>
      </c>
    </row>
    <row r="65" spans="1:1" x14ac:dyDescent="0.25">
      <c r="A65">
        <v>7.6333333333333329</v>
      </c>
    </row>
    <row r="66" spans="1:1" x14ac:dyDescent="0.25">
      <c r="A66">
        <v>7.6499999999999995</v>
      </c>
    </row>
    <row r="67" spans="1:1" x14ac:dyDescent="0.25">
      <c r="A67">
        <v>7.6499999999999995</v>
      </c>
    </row>
    <row r="68" spans="1:1" x14ac:dyDescent="0.25">
      <c r="A68">
        <v>7.6499999999999995</v>
      </c>
    </row>
    <row r="69" spans="1:1" x14ac:dyDescent="0.25">
      <c r="A69">
        <v>7.6833333333333336</v>
      </c>
    </row>
    <row r="70" spans="1:1" x14ac:dyDescent="0.25">
      <c r="A70">
        <v>7.7799999999999994</v>
      </c>
    </row>
    <row r="71" spans="1:1" x14ac:dyDescent="0.25">
      <c r="A71">
        <v>7.8999999999999995</v>
      </c>
    </row>
    <row r="72" spans="1:1" x14ac:dyDescent="0.25">
      <c r="A72">
        <v>8</v>
      </c>
    </row>
    <row r="73" spans="1:1" x14ac:dyDescent="0.25">
      <c r="A73">
        <v>8.0599999999999987</v>
      </c>
    </row>
    <row r="74" spans="1:1" x14ac:dyDescent="0.25">
      <c r="A74">
        <v>8.2249999999999996</v>
      </c>
    </row>
    <row r="75" spans="1:1" x14ac:dyDescent="0.25">
      <c r="A75">
        <v>8.3999999999999986</v>
      </c>
    </row>
    <row r="76" spans="1:1" x14ac:dyDescent="0.25">
      <c r="A76">
        <v>8.5666666666666664</v>
      </c>
    </row>
    <row r="77" spans="1:1" x14ac:dyDescent="0.25">
      <c r="A77">
        <v>8.5749999999999993</v>
      </c>
    </row>
    <row r="78" spans="1:1" x14ac:dyDescent="0.25">
      <c r="A78">
        <v>8.5800000000000018</v>
      </c>
    </row>
    <row r="79" spans="1:1" x14ac:dyDescent="0.25">
      <c r="A79">
        <v>9.1333333333333329</v>
      </c>
    </row>
    <row r="80" spans="1:1" x14ac:dyDescent="0.25">
      <c r="A80">
        <v>9.16</v>
      </c>
    </row>
    <row r="81" spans="1:1" x14ac:dyDescent="0.25">
      <c r="A81">
        <v>9.1666666666666661</v>
      </c>
    </row>
    <row r="82" spans="1:1" x14ac:dyDescent="0.25">
      <c r="A82">
        <v>9.1999999999999993</v>
      </c>
    </row>
    <row r="83" spans="1:1" x14ac:dyDescent="0.25">
      <c r="A83">
        <v>9.48</v>
      </c>
    </row>
    <row r="84" spans="1:1" x14ac:dyDescent="0.25">
      <c r="A84">
        <v>9.5333333333333332</v>
      </c>
    </row>
    <row r="85" spans="1:1" x14ac:dyDescent="0.25">
      <c r="A85">
        <v>9.7249999999999996</v>
      </c>
    </row>
    <row r="86" spans="1:1" x14ac:dyDescent="0.25">
      <c r="A86">
        <v>9.9</v>
      </c>
    </row>
    <row r="87" spans="1:1" x14ac:dyDescent="0.25">
      <c r="A87">
        <v>9.9</v>
      </c>
    </row>
    <row r="88" spans="1:1" x14ac:dyDescent="0.25">
      <c r="A88">
        <v>10.025</v>
      </c>
    </row>
    <row r="89" spans="1:1" x14ac:dyDescent="0.25">
      <c r="A89">
        <v>10.16</v>
      </c>
    </row>
    <row r="90" spans="1:1" x14ac:dyDescent="0.25">
      <c r="A90">
        <v>10.199999999999999</v>
      </c>
    </row>
    <row r="91" spans="1:1" x14ac:dyDescent="0.25">
      <c r="A91">
        <v>10.233333333333334</v>
      </c>
    </row>
    <row r="92" spans="1:1" x14ac:dyDescent="0.25">
      <c r="A92">
        <v>10.279999999999998</v>
      </c>
    </row>
    <row r="93" spans="1:1" x14ac:dyDescent="0.25">
      <c r="A93">
        <v>10.3</v>
      </c>
    </row>
    <row r="94" spans="1:1" x14ac:dyDescent="0.25">
      <c r="A94">
        <v>10.4</v>
      </c>
    </row>
    <row r="95" spans="1:1" x14ac:dyDescent="0.25">
      <c r="A95">
        <v>10.459999999999999</v>
      </c>
    </row>
    <row r="96" spans="1:1" x14ac:dyDescent="0.25">
      <c r="A96">
        <v>10.699999999999998</v>
      </c>
    </row>
    <row r="97" spans="1:1" x14ac:dyDescent="0.25">
      <c r="A97">
        <v>10.7</v>
      </c>
    </row>
    <row r="98" spans="1:1" x14ac:dyDescent="0.25">
      <c r="A98">
        <v>10.8</v>
      </c>
    </row>
    <row r="99" spans="1:1" x14ac:dyDescent="0.25">
      <c r="A99">
        <v>10.879999999999999</v>
      </c>
    </row>
    <row r="100" spans="1:1" x14ac:dyDescent="0.25">
      <c r="A100">
        <v>10.9</v>
      </c>
    </row>
    <row r="101" spans="1:1" x14ac:dyDescent="0.25">
      <c r="A101">
        <v>11</v>
      </c>
    </row>
    <row r="102" spans="1:1" x14ac:dyDescent="0.25">
      <c r="A102">
        <v>11.2</v>
      </c>
    </row>
    <row r="103" spans="1:1" x14ac:dyDescent="0.25">
      <c r="A103">
        <v>11.350000000000001</v>
      </c>
    </row>
    <row r="104" spans="1:1" x14ac:dyDescent="0.25">
      <c r="A104">
        <v>11.540000000000001</v>
      </c>
    </row>
    <row r="105" spans="1:1" x14ac:dyDescent="0.25">
      <c r="A105">
        <v>11.620000000000001</v>
      </c>
    </row>
    <row r="106" spans="1:1" x14ac:dyDescent="0.25">
      <c r="A106">
        <v>11.666666666666666</v>
      </c>
    </row>
    <row r="107" spans="1:1" x14ac:dyDescent="0.25">
      <c r="A107">
        <v>11.74</v>
      </c>
    </row>
    <row r="108" spans="1:1" x14ac:dyDescent="0.25">
      <c r="A108">
        <v>11.783333333333333</v>
      </c>
    </row>
    <row r="109" spans="1:1" x14ac:dyDescent="0.25">
      <c r="A109">
        <v>11.9</v>
      </c>
    </row>
    <row r="110" spans="1:1" x14ac:dyDescent="0.25">
      <c r="A110">
        <v>12.033333333333333</v>
      </c>
    </row>
    <row r="111" spans="1:1" x14ac:dyDescent="0.25">
      <c r="A111">
        <v>12.05</v>
      </c>
    </row>
    <row r="112" spans="1:1" x14ac:dyDescent="0.25">
      <c r="A112">
        <v>12.059999999999999</v>
      </c>
    </row>
    <row r="113" spans="1:1" x14ac:dyDescent="0.25">
      <c r="A113">
        <v>12.059999999999999</v>
      </c>
    </row>
    <row r="114" spans="1:1" x14ac:dyDescent="0.25">
      <c r="A114">
        <v>12.066666666666668</v>
      </c>
    </row>
    <row r="115" spans="1:1" x14ac:dyDescent="0.25">
      <c r="A115">
        <v>12.066666666666668</v>
      </c>
    </row>
    <row r="116" spans="1:1" x14ac:dyDescent="0.25">
      <c r="A116">
        <v>12.083333333333334</v>
      </c>
    </row>
    <row r="117" spans="1:1" x14ac:dyDescent="0.25">
      <c r="A117">
        <v>12.083333333333334</v>
      </c>
    </row>
    <row r="118" spans="1:1" x14ac:dyDescent="0.25">
      <c r="A118">
        <v>12.083333333333334</v>
      </c>
    </row>
    <row r="119" spans="1:1" x14ac:dyDescent="0.25">
      <c r="A119">
        <v>12.083333333333334</v>
      </c>
    </row>
    <row r="120" spans="1:1" x14ac:dyDescent="0.25">
      <c r="A120">
        <v>12.083333333333334</v>
      </c>
    </row>
    <row r="121" spans="1:1" x14ac:dyDescent="0.25">
      <c r="A121">
        <v>12.083333333333334</v>
      </c>
    </row>
    <row r="122" spans="1:1" x14ac:dyDescent="0.25">
      <c r="A122">
        <v>12.083333333333334</v>
      </c>
    </row>
    <row r="123" spans="1:1" x14ac:dyDescent="0.25">
      <c r="A123">
        <v>12.116666666666667</v>
      </c>
    </row>
    <row r="124" spans="1:1" x14ac:dyDescent="0.25">
      <c r="A124">
        <v>12.120000000000001</v>
      </c>
    </row>
    <row r="125" spans="1:1" x14ac:dyDescent="0.25">
      <c r="A125">
        <v>12.2</v>
      </c>
    </row>
    <row r="126" spans="1:1" x14ac:dyDescent="0.25">
      <c r="A126">
        <v>12.333333333333334</v>
      </c>
    </row>
    <row r="127" spans="1:1" x14ac:dyDescent="0.25">
      <c r="A127">
        <v>12.459999999999999</v>
      </c>
    </row>
    <row r="128" spans="1:1" x14ac:dyDescent="0.25">
      <c r="A128">
        <v>12.616666666666667</v>
      </c>
    </row>
    <row r="129" spans="1:1" x14ac:dyDescent="0.25">
      <c r="A129">
        <v>12.68</v>
      </c>
    </row>
    <row r="130" spans="1:1" x14ac:dyDescent="0.25">
      <c r="A130">
        <v>12.725000000000001</v>
      </c>
    </row>
    <row r="131" spans="1:1" x14ac:dyDescent="0.25">
      <c r="A131">
        <v>12.8</v>
      </c>
    </row>
    <row r="132" spans="1:1" x14ac:dyDescent="0.25">
      <c r="A132">
        <v>13.1</v>
      </c>
    </row>
    <row r="133" spans="1:1" x14ac:dyDescent="0.25">
      <c r="A133">
        <v>13.133333333333333</v>
      </c>
    </row>
    <row r="134" spans="1:1" x14ac:dyDescent="0.25">
      <c r="A134">
        <v>13.180000000000001</v>
      </c>
    </row>
    <row r="135" spans="1:1" x14ac:dyDescent="0.25">
      <c r="A135">
        <v>13.383333333333333</v>
      </c>
    </row>
    <row r="136" spans="1:1" x14ac:dyDescent="0.25">
      <c r="A136">
        <v>13.450000000000001</v>
      </c>
    </row>
    <row r="137" spans="1:1" x14ac:dyDescent="0.25">
      <c r="A137">
        <v>13.550000000000002</v>
      </c>
    </row>
    <row r="138" spans="1:1" x14ac:dyDescent="0.25">
      <c r="A138">
        <v>13.616666666666665</v>
      </c>
    </row>
    <row r="139" spans="1:1" x14ac:dyDescent="0.25">
      <c r="A139">
        <v>13.8</v>
      </c>
    </row>
    <row r="140" spans="1:1" x14ac:dyDescent="0.25">
      <c r="A140">
        <v>14.040000000000001</v>
      </c>
    </row>
    <row r="141" spans="1:1" x14ac:dyDescent="0.25">
      <c r="A141">
        <v>14.325000000000001</v>
      </c>
    </row>
    <row r="142" spans="1:1" x14ac:dyDescent="0.25">
      <c r="A142">
        <v>15.299999999999999</v>
      </c>
    </row>
    <row r="143" spans="1:1" x14ac:dyDescent="0.25">
      <c r="A143">
        <v>15.350000000000001</v>
      </c>
    </row>
    <row r="144" spans="1:1" x14ac:dyDescent="0.25">
      <c r="A144">
        <v>15.6</v>
      </c>
    </row>
    <row r="145" spans="1:3" x14ac:dyDescent="0.25">
      <c r="A145">
        <v>17.183333333333334</v>
      </c>
    </row>
    <row r="146" spans="1:3" x14ac:dyDescent="0.25">
      <c r="A146">
        <v>17.2</v>
      </c>
    </row>
    <row r="147" spans="1:3" x14ac:dyDescent="0.25">
      <c r="A147">
        <v>17.966666666666665</v>
      </c>
    </row>
    <row r="148" spans="1:3" x14ac:dyDescent="0.25">
      <c r="A148">
        <v>18.05</v>
      </c>
    </row>
    <row r="149" spans="1:3" x14ac:dyDescent="0.25">
      <c r="A149">
        <v>18.100000000000001</v>
      </c>
    </row>
    <row r="150" spans="1:3" x14ac:dyDescent="0.25">
      <c r="A150">
        <v>18.100000000000001</v>
      </c>
    </row>
    <row r="151" spans="1:3" x14ac:dyDescent="0.25">
      <c r="A151">
        <v>18.100000000000001</v>
      </c>
    </row>
    <row r="152" spans="1:3" x14ac:dyDescent="0.25">
      <c r="A152">
        <v>18.133333333333333</v>
      </c>
    </row>
    <row r="153" spans="1:3" x14ac:dyDescent="0.25">
      <c r="A153">
        <v>18.924999999999997</v>
      </c>
    </row>
    <row r="154" spans="1:3" x14ac:dyDescent="0.25">
      <c r="A154">
        <v>19.05</v>
      </c>
    </row>
    <row r="155" spans="1:3" x14ac:dyDescent="0.25">
      <c r="A155">
        <v>19.5</v>
      </c>
    </row>
    <row r="156" spans="1:3" x14ac:dyDescent="0.25">
      <c r="A156">
        <v>20.100000000000001</v>
      </c>
    </row>
    <row r="157" spans="1:3" x14ac:dyDescent="0.25">
      <c r="A157">
        <v>21.6</v>
      </c>
    </row>
    <row r="158" spans="1:3" x14ac:dyDescent="0.25">
      <c r="A158">
        <v>32.5</v>
      </c>
    </row>
    <row r="159" spans="1:3" x14ac:dyDescent="0.25">
      <c r="A159">
        <f>AVERAGE(A1:A158)</f>
        <v>9.2374050632911366</v>
      </c>
      <c r="B159" t="e">
        <f>AVERAGE(B1:B158)</f>
        <v>#DIV/0!</v>
      </c>
      <c r="C159" t="e">
        <f>AVERAGE(C1:C158)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Prabakaran</cp:lastModifiedBy>
  <dcterms:modified xsi:type="dcterms:W3CDTF">2025-11-14T00:28:58Z</dcterms:modified>
</cp:coreProperties>
</file>